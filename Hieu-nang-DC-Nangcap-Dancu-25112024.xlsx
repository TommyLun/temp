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INGUYEN-02092023\Hieu-nang-05112024\"/>
    </mc:Choice>
  </mc:AlternateContent>
  <bookViews>
    <workbookView xWindow="0" yWindow="0" windowWidth="28800" windowHeight="12330"/>
  </bookViews>
  <sheets>
    <sheet name="NVNN-PCA" sheetId="1" r:id="rId1"/>
    <sheet name="DCQG-PCA" sheetId="2" r:id="rId2"/>
    <sheet name="NVNN-ZERO-DATALOSS-RA23" sheetId="5" r:id="rId3"/>
    <sheet name="ZFS9-2-CSDL DAI-HAN-NVNN" sheetId="6" r:id="rId4"/>
    <sheet name="MA-HOA-OKV" sheetId="7" r:id="rId5"/>
    <sheet name="ZF9-2-CSDL-TAP-CHUNG" sheetId="8" r:id="rId6"/>
    <sheet name="CCCD" sheetId="11" r:id="rId7"/>
    <sheet name="EXADATA-NVNN" sheetId="9" r:id="rId8"/>
    <sheet name="EXADATA-DCQG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E3" i="2"/>
  <c r="E4" i="2" s="1"/>
  <c r="E2" i="2"/>
  <c r="D2" i="2"/>
  <c r="F4" i="2"/>
  <c r="D2" i="1"/>
  <c r="E2" i="1"/>
  <c r="F4" i="1"/>
  <c r="D3" i="1"/>
  <c r="D4" i="1" s="1"/>
  <c r="E3" i="1"/>
  <c r="E4" i="1" l="1"/>
  <c r="D4" i="2"/>
</calcChain>
</file>

<file path=xl/sharedStrings.xml><?xml version="1.0" encoding="utf-8"?>
<sst xmlns="http://schemas.openxmlformats.org/spreadsheetml/2006/main" count="1790" uniqueCount="434">
  <si>
    <t>No</t>
  </si>
  <si>
    <t>Module</t>
  </si>
  <si>
    <t>Server name</t>
  </si>
  <si>
    <t>CPU</t>
  </si>
  <si>
    <t>RAM</t>
  </si>
  <si>
    <t>HDD DATA</t>
  </si>
  <si>
    <t>Note</t>
  </si>
  <si>
    <t>PCA</t>
  </si>
  <si>
    <t>Đã cấp</t>
  </si>
  <si>
    <t>Còn lại</t>
  </si>
  <si>
    <t>HDD NVME</t>
  </si>
  <si>
    <t>HDD ZFS</t>
  </si>
  <si>
    <t>ovcacn07r1</t>
  </si>
  <si>
    <t>&lt;15%</t>
  </si>
  <si>
    <t>&lt;80%</t>
  </si>
  <si>
    <t>ovcacn08r1</t>
  </si>
  <si>
    <t>&lt;10%</t>
  </si>
  <si>
    <t>ovcacn09r1</t>
  </si>
  <si>
    <t>ovcacn10r1</t>
  </si>
  <si>
    <t>ovcacn11r1</t>
  </si>
  <si>
    <t>ovcacn12r1</t>
  </si>
  <si>
    <t>ovcacn13r1</t>
  </si>
  <si>
    <t>ovcacn14r1</t>
  </si>
  <si>
    <t>ovcacn26r1</t>
  </si>
  <si>
    <t>ovcacn27r1</t>
  </si>
  <si>
    <t>ovcacn28r1</t>
  </si>
  <si>
    <t>ovcacn33r1-nâng cấp</t>
  </si>
  <si>
    <t>ovcacn34r1-nâng cấp</t>
  </si>
  <si>
    <t>ovcacn35r1-nâng cấp</t>
  </si>
  <si>
    <t>&lt;5%</t>
  </si>
  <si>
    <t>﻿"Name VM PCA"</t>
  </si>
  <si>
    <t>vCPU</t>
  </si>
  <si>
    <t>Utilization %</t>
  </si>
  <si>
    <t>Memory (GB)</t>
  </si>
  <si>
    <t>Disk</t>
  </si>
  <si>
    <t>Disk %</t>
  </si>
  <si>
    <t>hannv-backup-config-x.x.73.100</t>
  </si>
  <si>
    <t>&lt;30%</t>
  </si>
  <si>
    <t>NVNN-DBCDTD-UIUX01-x.x.3.43</t>
  </si>
  <si>
    <t>NVNN-DBCDTD-UIUX02-x.x.3.44</t>
  </si>
  <si>
    <t>&gt;80%</t>
  </si>
  <si>
    <t>NVNN-TGTP-APP01-x.x.3.61</t>
  </si>
  <si>
    <t>NVNN-TGTP-APP02-x.x.3.62</t>
  </si>
  <si>
    <t>NVNN-TGTP-UIUX01-x.x.3.53</t>
  </si>
  <si>
    <t>NVNN-TGTP-UIUX02-x.x.3.54</t>
  </si>
  <si>
    <t>NVNN-C06-CCCD IMAGES-x.x.3.70</t>
  </si>
  <si>
    <t>NVNN-C06-CCCD IMAGES-x.x.3.71</t>
  </si>
  <si>
    <t>NVNN-JumpNew01-x.x.73.142</t>
  </si>
  <si>
    <t>PRO-QLDT-APP01-x.x.7.4</t>
  </si>
  <si>
    <t>PRO-QLDT-APP02-x.x.7.5</t>
  </si>
  <si>
    <t>PRO-QLDT-APP03-x.x.7.8</t>
  </si>
  <si>
    <t>PRO-QLDT-APP04-x.x.7.9</t>
  </si>
  <si>
    <t>PRO-QLDT-APP05-x.x.7.10</t>
  </si>
  <si>
    <t>PRO-QLDT-APP06-x.x.7.11</t>
  </si>
  <si>
    <t>PRO-QLDT-APP07-x.x.7.12</t>
  </si>
  <si>
    <t>NVNN-CuTru-API03-New-x.x.3.39</t>
  </si>
  <si>
    <t>NVNN-CuTru-API04-New-x.x.3.40</t>
  </si>
  <si>
    <t>NVNN-CuTru-API05-New-x.x.3.41</t>
  </si>
  <si>
    <t>NVNN-CuTru-API06-New-x.x.3.42</t>
  </si>
  <si>
    <t>P3P5-DBTransfer-x.x.23.12</t>
  </si>
  <si>
    <t>Hannv-Archives-Services01-x.x.14.85</t>
  </si>
  <si>
    <t>Hannv-Archives-Services02-x.x.14.86</t>
  </si>
  <si>
    <t>Hannv-Archives-Services03-x.x.14.87</t>
  </si>
  <si>
    <t>ovcacn36r1-nâng cấp</t>
  </si>
  <si>
    <t>Hancp-Api-FileServer01-x.x.2.2</t>
  </si>
  <si>
    <t>Hancp-Api-FileServer02-x.x.2.3</t>
  </si>
  <si>
    <t>Hancp-Api-FileServer03-x.x.2.52</t>
  </si>
  <si>
    <t>Hancp-Api-FileServer04-x.x.2.53</t>
  </si>
  <si>
    <t>Hancp-Api-FileServer05-x.x.2.54</t>
  </si>
  <si>
    <t>Hancp-DDConnector01-x.x.2.5</t>
  </si>
  <si>
    <t>Hancp-DDConnector02-x.x.2.6</t>
  </si>
  <si>
    <t>Hancp-DDConnectorCovid01-x.x.2.15</t>
  </si>
  <si>
    <t>Hancp-DDConnectorCovid02-x.x.2.16</t>
  </si>
  <si>
    <t>Hancp-Esb01-x.x.1.2</t>
  </si>
  <si>
    <t>Hancp-Esb01-x.x.1.3</t>
  </si>
  <si>
    <t>Hancp-Jms01-x.x.1.5</t>
  </si>
  <si>
    <t>Hancp-Jms02-x.x.1.6</t>
  </si>
  <si>
    <t>Hancp-Jms03-x.x.1.7</t>
  </si>
  <si>
    <t>Hancp-Coherence01-x.x.1.9</t>
  </si>
  <si>
    <t>Hancp-Coherence02-x.x.1.10</t>
  </si>
  <si>
    <t>Hancp-VPCP-file01-x.x.1.12</t>
  </si>
  <si>
    <t>Hancp-VPCP-file02-x.x.1.13</t>
  </si>
  <si>
    <t>Hancp-IVANTI-172.19.1.98</t>
  </si>
  <si>
    <t>Hancp-DBCDTD01-x.x.3.2</t>
  </si>
  <si>
    <t>Hancp-DBCDTD02-x.x.3.3</t>
  </si>
  <si>
    <t>Hancp-DBCDTD03-x.x.3.8</t>
  </si>
  <si>
    <t>HANCP-DBCDTD04-x.x.3.72</t>
  </si>
  <si>
    <t>HANCP-DBCDTD05-x.x.3.73</t>
  </si>
  <si>
    <t>HANCP-DNS01-172.19.3.57</t>
  </si>
  <si>
    <t>HANCP-DNS01-172.19.3.58</t>
  </si>
  <si>
    <t>Hancp-BGService01-x.x.3.5</t>
  </si>
  <si>
    <t>Hancp-BGService02-x.x.3.6</t>
  </si>
  <si>
    <t>Hancp-CongAPI01-x.x.4.2</t>
  </si>
  <si>
    <t>Hancp-CongAPI02-x.x.4.3</t>
  </si>
  <si>
    <t>Hancp-CommonAPI01-x.x.4.5</t>
  </si>
  <si>
    <t>Hancp-CommonAPI02-x.x.4.6</t>
  </si>
  <si>
    <t>Hancp-OHS-MobiApp01-x.x.5.2</t>
  </si>
  <si>
    <t>Hancp-OHS-MobiApp01-x.x.5.3</t>
  </si>
  <si>
    <t>Hancp-Store-BK-172.19.1.100</t>
  </si>
  <si>
    <t>HANCP-VK-CD-VLN-WS2019-x.x.11.1</t>
  </si>
  <si>
    <t>HANCP-VK-CD-VLN-OL8-172.x.x.11.66</t>
  </si>
  <si>
    <t>Hancp-XMDD-App01-x.x.5.5</t>
  </si>
  <si>
    <t>Hancp-XMDD-App02-x.x.5.6</t>
  </si>
  <si>
    <t>Hancp-XMDD-Notify01-x.x.5.8</t>
  </si>
  <si>
    <t>Hancp-XMDD-Notify02-x.x.5.9</t>
  </si>
  <si>
    <t>Hancp-SVRQT-XMDD-x.x.5.10</t>
  </si>
  <si>
    <t>&lt;90%</t>
  </si>
  <si>
    <t xml:space="preserve">
Hancp-Yum :172.19.1.9</t>
  </si>
  <si>
    <t>Hancp-Yum-Redhat84-172.19.1.10</t>
  </si>
  <si>
    <t>&lt;99%</t>
  </si>
  <si>
    <t>Hancp-YUM-Ubuntu-172.19.1.11</t>
  </si>
  <si>
    <t>Hancp-Teca-Ansible-x.x.4.96</t>
  </si>
  <si>
    <t>Hancp-FileStoGtelSI-172.19.1.18</t>
  </si>
  <si>
    <t>Hancp-XTTTCD-App01-x.x.3.9</t>
  </si>
  <si>
    <t>Hancp-XTTTCD-App02-x.x.3.10</t>
  </si>
  <si>
    <t>Hancp-DEPLOY-x.x.2.31</t>
  </si>
  <si>
    <t>Hancp-C06-CCCD IMAGES-x.x.3.71</t>
  </si>
  <si>
    <t>Hancp-JumpNew01-172.19.1.142</t>
  </si>
  <si>
    <t>Hancp-JumpNew02-172.19.1.143</t>
  </si>
  <si>
    <t>HANCP-OLVM-172.19.1.150</t>
  </si>
  <si>
    <t>HANCP-RESTORE-DB-x.x.4.18</t>
  </si>
  <si>
    <t>BMS-Gateway01-x.x.4.11</t>
  </si>
  <si>
    <t>BMS-Gateway02-x.x.4.12</t>
  </si>
  <si>
    <t>BMS-Gateway03-x.x.4.13</t>
  </si>
  <si>
    <t>BMS-Microservice01-x.x.6.5</t>
  </si>
  <si>
    <t>BMS-Microservice02-x.x.6.6</t>
  </si>
  <si>
    <t>BMS-Microservice03-x.x.6.7</t>
  </si>
  <si>
    <t>BMS-News01-x.x.6.13</t>
  </si>
  <si>
    <t>BMS-News02-x.x.6.14</t>
  </si>
  <si>
    <t>BMS-Report01-x.x.6.25</t>
  </si>
  <si>
    <t>BMS-Report02-x.x.6.26</t>
  </si>
  <si>
    <t>BMS-Mgnt01-x.x.6.32</t>
  </si>
  <si>
    <t>BMS-Mgnt02-x.x.6.33</t>
  </si>
  <si>
    <t>BMS-Mgnt03-x.x.6.34</t>
  </si>
  <si>
    <t>BMS-Mgnt04-x.x.6.35</t>
  </si>
  <si>
    <t>BMS-Mngt-Secirity01-x.x.7.1</t>
  </si>
  <si>
    <t>BMS-Mngt-Secirity02-x.x.7.2</t>
  </si>
  <si>
    <t>BMS-Redis01-x.x.8.1</t>
  </si>
  <si>
    <t>BMS-Redis02-x.x.8.2</t>
  </si>
  <si>
    <t>BMS-Redis03-x.x.8.3</t>
  </si>
  <si>
    <t>BMS-Minio01-x.x.8.7</t>
  </si>
  <si>
    <t>BMS-Minio02-x.x.8.8</t>
  </si>
  <si>
    <t>BMS-Minio03-x.x.8.73</t>
  </si>
  <si>
    <t>BMS-Minio04-x.x.8.74</t>
  </si>
  <si>
    <t>KTDBBN-P3P5-DB-01-x.x.32.1</t>
  </si>
  <si>
    <t>KTDBBN-P3P5-DB-01-x.x.32.2</t>
  </si>
  <si>
    <t>P3P5-500Gb-172.19.2.21</t>
  </si>
  <si>
    <t>P3P5-KTDBBN-App01-x.x.11.2</t>
  </si>
  <si>
    <t>P3P5-KTDBBN-App02-x.x.11.3</t>
  </si>
  <si>
    <t>TT&amp;LTDL-P3P5-APP01-x.x.11.67</t>
  </si>
  <si>
    <t>TT&amp;LTDL-P3P5-APP02-x.x.11.68</t>
  </si>
  <si>
    <t>TT&amp;LTDL-P3P5-DB01-x.x.32.17</t>
  </si>
  <si>
    <t>TT&amp;LTDL-P3P5-DB01-x.x.32.18</t>
  </si>
  <si>
    <t>DC-APP-BE-PYTHON01-x.x.32.33</t>
  </si>
  <si>
    <t>DC-APP-BE-PYTHON02-x.x.32.34</t>
  </si>
  <si>
    <t>DC-APP-REDIS01-x.x.32.49</t>
  </si>
  <si>
    <t>DC-DB-MONGGO-x.x.32.66</t>
  </si>
  <si>
    <t>HANCP-EMAIL-VNPT-DB01_x.x.32.81</t>
  </si>
  <si>
    <t>HANCP-EMAIL-VNPT-DB02_x.x.32.82</t>
  </si>
  <si>
    <t>DC-APP-Test-kenhtruyen-x.x.2.25</t>
  </si>
  <si>
    <t>DC-DB-MINIO01-x.x.32.65</t>
  </si>
  <si>
    <t>Hancp-Media-Upload-Services01-x.x.34.60</t>
  </si>
  <si>
    <t>Hancp-Media-Upload-Services01-x.x.34.61</t>
  </si>
  <si>
    <t>Hancp-Media-Upload-Services01-x.x.34.62</t>
  </si>
  <si>
    <t>Hancp-Aggregator-Service01-x.x.34.65</t>
  </si>
  <si>
    <t>Hancp-Aggregator-Service02-x.x.34.66</t>
  </si>
  <si>
    <t>Hancp-Aggregator-Service03-x.x.34.67</t>
  </si>
  <si>
    <t>Hancp-Message-Broker-Servers01-x.x.34.70</t>
  </si>
  <si>
    <t>Hancp-Message-Broker-Servers02-x.x.34.71</t>
  </si>
  <si>
    <t>Hancp-Message-Broker-Servers03-x.x.34.72</t>
  </si>
  <si>
    <t>Hancp-Caching-Server01-x.x.34.75</t>
  </si>
  <si>
    <t>Hancp-Caching-Server02-x.x.34.76</t>
  </si>
  <si>
    <t>Hancp-Caching-Server03-x.x.34.77</t>
  </si>
  <si>
    <t>HANCP-CONG-API-DVC-LT-01-x.x.4.16</t>
  </si>
  <si>
    <t>HANCP-CONG-API-DVC-LT-02-x.x.4.17</t>
  </si>
  <si>
    <t>HANCP-CONG-API-VNEID-01-x.x.4.18</t>
  </si>
  <si>
    <t>HANCP-CONG-API-VNEID-02-x.x.4.19</t>
  </si>
  <si>
    <t>HANCP-CONG-API-PAY-01-x.x.4.20</t>
  </si>
  <si>
    <t>HANCP-CONG-API-PAY-02-x.x.4.21</t>
  </si>
  <si>
    <t>HANCP-CONG-API-ASM-01-x.x.4.22</t>
  </si>
  <si>
    <t>HANCP-CONG-API-ASM-02-x.x.4.23</t>
  </si>
  <si>
    <t>RA23</t>
  </si>
  <si>
    <t>hannvzdlracel01</t>
  </si>
  <si>
    <t>hannvzdlracel02</t>
  </si>
  <si>
    <t>hannvzdlracel03</t>
  </si>
  <si>
    <t>hannvzdlracel04</t>
  </si>
  <si>
    <t>hannvzdlracel05</t>
  </si>
  <si>
    <t>hannvzdlracel06</t>
  </si>
  <si>
    <t>hannvzdlracel07</t>
  </si>
  <si>
    <t>hannvzdlracel08</t>
  </si>
  <si>
    <t>hannvzdlracel09</t>
  </si>
  <si>
    <t>hannvzdlracel10</t>
  </si>
  <si>
    <t>hannvzdlracel11</t>
  </si>
  <si>
    <t>hannvzdlingest01</t>
  </si>
  <si>
    <t>hannvzdlingest02</t>
  </si>
  <si>
    <t>HDD NVME-OS</t>
  </si>
  <si>
    <t>12x22Tb</t>
  </si>
  <si>
    <t>3,84Tb</t>
  </si>
  <si>
    <t>ZF9-2</t>
  </si>
  <si>
    <t>84Tb</t>
  </si>
  <si>
    <t>3700Tb</t>
  </si>
  <si>
    <t>ZFS ZS9-2-ZFS01</t>
  </si>
  <si>
    <t>ZFS ZS9-2-ZFS02</t>
  </si>
  <si>
    <t>Disk Shelves01</t>
  </si>
  <si>
    <t>Disk Shelves02</t>
  </si>
  <si>
    <t>Disk Shelves03</t>
  </si>
  <si>
    <t>Disk Shelves04</t>
  </si>
  <si>
    <t>Disk Shelves05</t>
  </si>
  <si>
    <t>Disk Shelves06</t>
  </si>
  <si>
    <t>Disk Shelves07</t>
  </si>
  <si>
    <t>Disk Shelves08</t>
  </si>
  <si>
    <t>Disk Shelves09</t>
  </si>
  <si>
    <t>Disk Shelves10</t>
  </si>
  <si>
    <t>Disk Shelves11</t>
  </si>
  <si>
    <t>Disk Shelves12</t>
  </si>
  <si>
    <t>20x22Tb</t>
  </si>
  <si>
    <t>OKV</t>
  </si>
  <si>
    <t>3,5Tb</t>
  </si>
  <si>
    <t>HANNV-OKV-01</t>
  </si>
  <si>
    <t>HANNV-OKV-02</t>
  </si>
  <si>
    <t>500Gb</t>
  </si>
  <si>
    <t>2x3,84Tb</t>
  </si>
  <si>
    <t>EXA-X8M-2</t>
  </si>
  <si>
    <t>hannvexasvr01</t>
  </si>
  <si>
    <t>hannvexasvr02</t>
  </si>
  <si>
    <t>hannvexasvr03</t>
  </si>
  <si>
    <t>&lt;95%</t>
  </si>
  <si>
    <t>hannvexacel01</t>
  </si>
  <si>
    <t>hannvexacel02</t>
  </si>
  <si>
    <t>hannvexacel03</t>
  </si>
  <si>
    <t>hannvexacel04</t>
  </si>
  <si>
    <t>12x14Tb</t>
  </si>
  <si>
    <t>4x1,2Tb</t>
  </si>
  <si>
    <t>EXA-X10M</t>
  </si>
  <si>
    <t>Exax10db01</t>
  </si>
  <si>
    <t>Exax10db02</t>
  </si>
  <si>
    <t>Exax10cel01</t>
  </si>
  <si>
    <t>Exax10cel02</t>
  </si>
  <si>
    <t>Exax10cel03</t>
  </si>
  <si>
    <t>Exax10cel04</t>
  </si>
  <si>
    <t>Exax10cel05</t>
  </si>
  <si>
    <t>2x3,5Tb</t>
  </si>
  <si>
    <t>hancpexa01</t>
  </si>
  <si>
    <t>hancpexa02</t>
  </si>
  <si>
    <t>hancpexa03</t>
  </si>
  <si>
    <t>hancpexacle01</t>
  </si>
  <si>
    <t>hancpexacle02</t>
  </si>
  <si>
    <t>hancpexacle03</t>
  </si>
  <si>
    <t>hancpexacle04</t>
  </si>
  <si>
    <t>CC-ESXi-App</t>
  </si>
  <si>
    <t>76Tb</t>
  </si>
  <si>
    <t>41Tb</t>
  </si>
  <si>
    <t>35Tb</t>
  </si>
  <si>
    <t>HAN-CC-ESXI-APP01</t>
  </si>
  <si>
    <t>HAN-CC-ESXI-APP02</t>
  </si>
  <si>
    <t>HAN-CC-ESXI-APP03</t>
  </si>
  <si>
    <t>HAN-CC-ESXI-APP04</t>
  </si>
  <si>
    <t>HAN-CC-ESXI-APP05</t>
  </si>
  <si>
    <t>HAN-CC-ESXI-APP06</t>
  </si>
  <si>
    <t>HAN-CC-ESXI-APP07</t>
  </si>
  <si>
    <t>HAN-CC-ESXI-APP08</t>
  </si>
  <si>
    <t>HAN-CC-ESXI-App11</t>
  </si>
  <si>
    <t>HAN-CC-ESXI-App12</t>
  </si>
  <si>
    <t>HAN-CC-ESXI-WAN01</t>
  </si>
  <si>
    <t>HAN-CC-ESXI-WAN02</t>
  </si>
  <si>
    <t>Temp-ubuntu</t>
  </si>
  <si>
    <t>OAT-Test-Tai-APP-ECS-01_172.16.34.78</t>
  </si>
  <si>
    <t>OAT-Test-Tai-APP-ECS-02_172.16.34.79</t>
  </si>
  <si>
    <t>OAT-Test-Tai-APP-ECS-03_172.16.34.80</t>
  </si>
  <si>
    <t>HANNV-AGGREGATOR-SERVICE-01-x.x.14.70</t>
  </si>
  <si>
    <t>HANNV-AGGREGATOR-SERVICE-02-x.x.14.71</t>
  </si>
  <si>
    <t>HANNV-AGGREGATOR-SERVICE-03-x.x.14.72</t>
  </si>
  <si>
    <t>HANNV-Archives-Dashboard01-x.x.14.83</t>
  </si>
  <si>
    <t>HANNV-Archives-Dashboard02-x.x.14.84</t>
  </si>
  <si>
    <t>HANNV-Caching-Server-01-x.x.14.80</t>
  </si>
  <si>
    <t>HANNV-Caching-Server-02-x.x.14.81</t>
  </si>
  <si>
    <t>HANNV-Caching-Server-03-x.x.14.82</t>
  </si>
  <si>
    <t>HANNV-DEPLOY-x.x.2.31</t>
  </si>
  <si>
    <t>HANNV-File-Management-Dashboard01-x.x.14.73</t>
  </si>
  <si>
    <t>HANNV-File-Management-Dashboard-02-x.x.14.74</t>
  </si>
  <si>
    <t>HANNV-FileStoGtelSI-x.x.73.18</t>
  </si>
  <si>
    <t>HANNV-MEDIA-UPLOAD-SERVICE-01-x.x.14.65</t>
  </si>
  <si>
    <t>HANNV-MEDIA-UPLOAD-SERVICE-02-x.x.14.66</t>
  </si>
  <si>
    <t>HANNV-MEDIA-UPLOAD-SERVICE-03-x.x.14.67</t>
  </si>
  <si>
    <t>HANNV-Message-Broker-Server-01-x.x.14.75</t>
  </si>
  <si>
    <t>HANNV-Message-Broker-Server-02-x.x.14.76</t>
  </si>
  <si>
    <t>HANNV-Message-Broker-Server-03-x.x.14.77</t>
  </si>
  <si>
    <t>HANNV-RAR-EP-Agent-01_x.x.7.193</t>
  </si>
  <si>
    <t>HANNV-RAR-EP-Agent-02_x.x.7.194</t>
  </si>
  <si>
    <t>HANNV-RAR-EP-Agent-03_x.x.7.195</t>
  </si>
  <si>
    <t>HANNV-RAR-EP-OKD-BOOTTRAP-01_x.x.7.196</t>
  </si>
  <si>
    <t>HANNV-RAR-EP-OKD-MASTER-01_x.x.7.199</t>
  </si>
  <si>
    <t>HANNV-RAR-EP-OKD-MASTER-02_x.x.7.198</t>
  </si>
  <si>
    <t>HANNV-RAR-EP-OKD-MASTER-03_x.x.7.197</t>
  </si>
  <si>
    <t>HANNV-RAR-EP-OKD-WOKER-01_x.x.7.200</t>
  </si>
  <si>
    <t>HANNV-RAR-EP-OKD-WOKER-02_x.x.7.201</t>
  </si>
  <si>
    <t>HANNV-SERVER-FE-QLCT_NNN-x.x.7.27</t>
  </si>
  <si>
    <t>HANNV-SchemaOHS01-x.x.4.9</t>
  </si>
  <si>
    <t>HANNV-SchemaOHS02-x.x.4.10</t>
  </si>
  <si>
    <t>HANNV-XTTTCD-App01-x.x.3.68</t>
  </si>
  <si>
    <t>HANNV-XTTTCD-App02-x.x.3.69</t>
  </si>
  <si>
    <t>HANNV-XTTTCD-UIUX01-x.x.3.72</t>
  </si>
  <si>
    <t>HANNV-XTTTCD-UIUX02-x.x.3.73</t>
  </si>
  <si>
    <t>HANNV-YUM02-x.x.73.10</t>
  </si>
  <si>
    <t>NNNV-LOGGING-APP01-x.x.1.19</t>
  </si>
  <si>
    <t>NNNV-LOGGING-APP02-x.x.1.20</t>
  </si>
  <si>
    <t>NVNN-DDConnecterCovid01-x.x.2.38</t>
  </si>
  <si>
    <t>NVNN-DDConnecterCovid02-x.x.2.39</t>
  </si>
  <si>
    <t>NVNN-Staging-01-x.x.4.50</t>
  </si>
  <si>
    <t>NVNN.BCTK_BDDC-01-x.x.3.11</t>
  </si>
  <si>
    <t>NVNN.BCTK_BDDC-02-x.x.3.12</t>
  </si>
  <si>
    <t>NVNN.BGService03-x.x.3.55</t>
  </si>
  <si>
    <t>NVNN.BGService04-x.x.3.56</t>
  </si>
  <si>
    <t>NVNN.BGService-01-x.x.3.5</t>
  </si>
  <si>
    <t>NVNN.BGService-02-x.x.3.6</t>
  </si>
  <si>
    <t>NVNN.BGservice.CC01-x.x.3.49</t>
  </si>
  <si>
    <t>NVNN.BGservice.CC02-x.x.3.50</t>
  </si>
  <si>
    <t>NVNN.BI-01-x.x.2.19</t>
  </si>
  <si>
    <t>NVNN.BI-02-x.x.2.20</t>
  </si>
  <si>
    <t>NVNN.BI-03-x.x.2.50</t>
  </si>
  <si>
    <t>NVNN.Coherence-01-x.x.1.25</t>
  </si>
  <si>
    <t>NVNN.Coherence-02-x.x.1.26</t>
  </si>
  <si>
    <t>NVNN.Cong-API-01-x.x.4.6</t>
  </si>
  <si>
    <t>NVNN.Cong-API-02-x.x.4.7</t>
  </si>
  <si>
    <t>NVNN.Cong-UIUX-01-x.x.4.3</t>
  </si>
  <si>
    <t>NVNN.Cong-UIUX-02-x.x.4.4</t>
  </si>
  <si>
    <t>NVNN.CuTru01-UIUX-01-x.x.3.25</t>
  </si>
  <si>
    <t>NVNN.CuTru01-UIUX-02-x.x.3.26</t>
  </si>
  <si>
    <t>NVNN.CuTru02-UIUX-01-x.x.3.28</t>
  </si>
  <si>
    <t>NVNN.CuTru02-UIUX-02-x.x.3.29</t>
  </si>
  <si>
    <t>NVNN.CuTru03-UIUX-01-x.x.3.31</t>
  </si>
  <si>
    <t>NVNN.CuTru03-UIUX-02-x.x.3.32</t>
  </si>
  <si>
    <t>NVNN.CuTru-API-01-x.x.3.34</t>
  </si>
  <si>
    <t>NVNN.CuTru-API-02-x.x.3.35</t>
  </si>
  <si>
    <t>NVNN.DBCDTD-01-x.x.3.2</t>
  </si>
  <si>
    <t>NVNN.DBCDTD-02-x.x.3.3</t>
  </si>
  <si>
    <t>NVNN.DBCDTD-03-x.x.3.37</t>
  </si>
  <si>
    <t>NVNN.DBCDTD-04-x.x.3.38</t>
  </si>
  <si>
    <t>NVNN.DDConnecter-01-x.x.2.28</t>
  </si>
  <si>
    <t>NVNN.DDConnecter-02-x.x.2.29</t>
  </si>
  <si>
    <t>NVNN.DinhDanh-01-x.x.3.8</t>
  </si>
  <si>
    <t>NVNN.DinhDanh-02-x.x.3.9</t>
  </si>
  <si>
    <t>NVNN.ESB-01-x.x.1.12</t>
  </si>
  <si>
    <t>NVNN.ESB-02-x.x.1.13</t>
  </si>
  <si>
    <t>NVNN.ESB.CC01-x.x.1.22</t>
  </si>
  <si>
    <t>NVNN.ESB.CC02-x.x.1.23</t>
  </si>
  <si>
    <t>NVNN.FileServer-01-x.x.2.22</t>
  </si>
  <si>
    <t>NVNN.FileServer-02-x.x.2.23</t>
  </si>
  <si>
    <t>NVNN.JMS-01-x.x.1.15</t>
  </si>
  <si>
    <t>NVNN.JMS-02-x.x.1.16</t>
  </si>
  <si>
    <t>NVNN.JMS-03-x.x.1.17</t>
  </si>
  <si>
    <t>NVNN.JMS-04-x.x.1.28</t>
  </si>
  <si>
    <t>NVNN.JMS-05-x.x.1.29</t>
  </si>
  <si>
    <t>NVNN.LDAP-01-x.x.1.9</t>
  </si>
  <si>
    <t>NVNN.LDAP-02-x.x.1.10</t>
  </si>
  <si>
    <t>NVNN.OAM-02-x.x.1.5</t>
  </si>
  <si>
    <t>NVNN.OAM-03-x.x.1.6</t>
  </si>
  <si>
    <t>NVNN.OAM-04-x.x.1.7</t>
  </si>
  <si>
    <t>NVNN.OHS-API02-x.x.4.1</t>
  </si>
  <si>
    <t>NVNN.OHS-API-x.x.4.2</t>
  </si>
  <si>
    <t>NVNN.QTUD-API-01-x.x.3.22</t>
  </si>
  <si>
    <t>NVNN.QTUD-API-02-x.x.3.23</t>
  </si>
  <si>
    <t>NVNN.QTUD-UIUX-01-x.x.3.19</t>
  </si>
  <si>
    <t>NVNN.QTUD-UIUX-02-x.x.3.20</t>
  </si>
  <si>
    <t>NVNN.ThuThap_DVDC-01-x.x.3.16</t>
  </si>
  <si>
    <t>NVNN.ThuThap_DVDC-02-x.x.3.17</t>
  </si>
  <si>
    <t>OAT-Test-Tai-APP-ECS-01_x.x.14.88</t>
  </si>
  <si>
    <t>OAT-Test-Tai-APP-ECS-02_x.x.14.89</t>
  </si>
  <si>
    <t>OAT-Test-Tai-APP-ECS-03_x.x.14.90</t>
  </si>
  <si>
    <t>P3P5-APP-Frontend-01-x.x.13.16</t>
  </si>
  <si>
    <t>P3P5-APP-Frontend-02-x.x.13.17</t>
  </si>
  <si>
    <t>P3P5-APP-Server-01-x.x.13.67</t>
  </si>
  <si>
    <t>P3P5-APP-Server-02-x.x.13.68</t>
  </si>
  <si>
    <t>P3P5-APP-Server-03-x.x.13.69</t>
  </si>
  <si>
    <t>P3P5-DB-CD-VK-KDDK-01-x.x.23.6</t>
  </si>
  <si>
    <t>P3P5-DB-CD-VK-KDDK-02-x.x.23.7</t>
  </si>
  <si>
    <t>P3P5-DB-THLTDL-01-x.x.23.8</t>
  </si>
  <si>
    <t>P3P5-DB-THLTDL-02-x.x.23.9</t>
  </si>
  <si>
    <t>P3P5-THLTDL-APP-01-x.x.13.14</t>
  </si>
  <si>
    <t>P3P5-THLTDL-APP-02-x.x.13.15</t>
  </si>
  <si>
    <t>PRO-QLDT-ECM-APP01-x.x.7.72</t>
  </si>
  <si>
    <t>PRO-QLDT-ECM-APP02-x.x.7.73</t>
  </si>
  <si>
    <t>PRO-QLDT-FileServer-ECM01-x.x.7.129</t>
  </si>
  <si>
    <t>PRO-QLDT-FileServer-ECM02-x.x.7.130</t>
  </si>
  <si>
    <t>RAC-RAR-EP-01-x.x.24.65</t>
  </si>
  <si>
    <t>RAC-RAR-EP-02-x.x.24.66</t>
  </si>
  <si>
    <t>RAR-EP-node-01-x.x.1.41</t>
  </si>
  <si>
    <t>RAR-EP-node-02-x.x.1.42</t>
  </si>
  <si>
    <t>RAR-EP-node-03-x.x.1.43</t>
  </si>
  <si>
    <t>RAR-EP-node-04-x.x.1.44</t>
  </si>
  <si>
    <t>RAR-EP-node-05-x.x.1.49</t>
  </si>
  <si>
    <t>VK-VLN-GTELST-APP-Backend-01-x.x.13.65</t>
  </si>
  <si>
    <t>VK-VLN-GTELST-APP-Backend-02-x.x.13.66</t>
  </si>
  <si>
    <t>VK-VLN-GTELST-APP-Frontend-01-x.x.13.12</t>
  </si>
  <si>
    <t>VK-VLN-GTELST-APP-Frontend-01-x.x.13.13</t>
  </si>
  <si>
    <t>VK-VLN-GTELST-APP-Proxy-01-x.x.13.10</t>
  </si>
  <si>
    <t>VK-VLN-GTELST-APP-Proxy-02-x.x.13.11.</t>
  </si>
  <si>
    <t>VK-VLN-GTELST-APP-Redis-01-x.x.13.138</t>
  </si>
  <si>
    <t>VK-VLN-GTELST-APP-TICHHOP-LIENTHONG-x.x.13.1.0</t>
  </si>
  <si>
    <t>VK-VLN-GTELST-DB-01-x.x.23.26</t>
  </si>
  <si>
    <t>VK-VLN-GTELST-DB-02-x.x.23.27</t>
  </si>
  <si>
    <t>VK-VLN-GTELST-ECM-01-x.x.23.4</t>
  </si>
  <si>
    <t>VK-VLN-GTELST-ECM-02-x.x.23.5</t>
  </si>
  <si>
    <t>VK-VLN-GTELST-ECM-BK-x.x.23.34</t>
  </si>
  <si>
    <t>VK-VLN-HIPT-APP-TICHHOP-LIENTHONG-x.x.13.7.0</t>
  </si>
  <si>
    <t>VK-VLN-HIPT-APP-TICHHOP-LIENTHONG-x.x.13.8.0</t>
  </si>
  <si>
    <t>VK-VLN-HIPT-DB-MSSQL-TICHHOP-LIENTHONG-x.x.23.1.0</t>
  </si>
  <si>
    <t>VK-VLN-MINIO-x.x.13.73</t>
  </si>
  <si>
    <t>VK-VLN-NGINX-x.x.13.77</t>
  </si>
  <si>
    <t>VLN-MINIO-x.x.13.73.0</t>
  </si>
  <si>
    <t>VLN-MINIO-x.x.13.74</t>
  </si>
  <si>
    <t>VLN-MINIO-x.x.13.75</t>
  </si>
  <si>
    <t>VLN-MINIO-x.x.13.76</t>
  </si>
  <si>
    <t>&lt;17%</t>
  </si>
  <si>
    <t>&lt;25%</t>
  </si>
  <si>
    <t>&lt;50%</t>
  </si>
  <si>
    <t>&lt;60%</t>
  </si>
  <si>
    <t>&lt;20%</t>
  </si>
  <si>
    <t>~80%</t>
  </si>
  <si>
    <t>&lt;40%</t>
  </si>
  <si>
    <t>&lt;70%</t>
  </si>
  <si>
    <t>~70%</t>
  </si>
  <si>
    <t>~50%</t>
  </si>
  <si>
    <t>~40%</t>
  </si>
  <si>
    <t>270Tb</t>
  </si>
  <si>
    <t>130Tb</t>
  </si>
  <si>
    <t>140Tb</t>
  </si>
  <si>
    <t>45/135-85/135</t>
  </si>
  <si>
    <t>&lt;85%</t>
  </si>
  <si>
    <t>190Tb</t>
  </si>
  <si>
    <t>640Tb</t>
  </si>
  <si>
    <t>a</t>
  </si>
  <si>
    <t>1400Tb</t>
  </si>
  <si>
    <t>1100Tb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</si>
</sst>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3"/>
      <color theme="1"/>
      <name val="Times New Roman"/>
      <family val="1"/>
    </font>
    <font>
      <sz val="11"/>
      <color theme="1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9"/>
      <color rgb="FF333333"/>
      <name val="Arial"/>
      <family val="2"/>
    </font>
    <font>
      <sz val="9"/>
      <color rgb="FF333333"/>
      <name val="Times New Roman"/>
      <family val="1"/>
    </font>
    <font>
      <sz val="13"/>
      <color rgb="FF333333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9F9FB"/>
        <bgColor indexed="64"/>
      </patternFill>
    </fill>
    <fill>
      <patternFill patternType="solid">
        <fgColor rgb="FFC4CEE0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8DFFD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E5E5E5"/>
      </right>
      <top/>
      <bottom style="medium">
        <color rgb="FFE5E5E5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vertical="top" wrapText="1"/>
    </xf>
    <xf numFmtId="0" fontId="0" fillId="0" borderId="1" xfId="0" applyBorder="1" applyAlignment="1"/>
    <xf numFmtId="0" fontId="4" fillId="0" borderId="1" xfId="0" applyFont="1" applyBorder="1" applyAlignment="1">
      <alignment vertical="center"/>
    </xf>
    <xf numFmtId="9" fontId="0" fillId="0" borderId="1" xfId="0" applyNumberFormat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6" fillId="5" borderId="1" xfId="0" applyFont="1" applyFill="1" applyBorder="1"/>
    <xf numFmtId="0" fontId="6" fillId="5" borderId="1" xfId="0" applyNumberFormat="1" applyFont="1" applyFill="1" applyBorder="1"/>
    <xf numFmtId="0" fontId="4" fillId="5" borderId="1" xfId="0" applyNumberFormat="1" applyFont="1" applyFill="1" applyBorder="1"/>
    <xf numFmtId="0" fontId="4" fillId="5" borderId="1" xfId="0" applyNumberFormat="1" applyFont="1" applyFill="1" applyBorder="1" applyAlignment="1">
      <alignment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/>
    </xf>
    <xf numFmtId="0" fontId="6" fillId="5" borderId="1" xfId="0" applyNumberFormat="1" applyFont="1" applyFill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9" fontId="0" fillId="7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7" fillId="8" borderId="1" xfId="0" applyFont="1" applyFill="1" applyBorder="1" applyAlignment="1">
      <alignment wrapText="1"/>
    </xf>
    <xf numFmtId="0" fontId="7" fillId="8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0" fillId="9" borderId="0" xfId="0" applyFill="1"/>
    <xf numFmtId="0" fontId="9" fillId="10" borderId="6" xfId="0" applyFont="1" applyFill="1" applyBorder="1" applyAlignment="1">
      <alignment vertical="center"/>
    </xf>
    <xf numFmtId="0" fontId="9" fillId="11" borderId="6" xfId="0" applyFont="1" applyFill="1" applyBorder="1" applyAlignment="1">
      <alignment vertical="center"/>
    </xf>
    <xf numFmtId="0" fontId="9" fillId="12" borderId="6" xfId="0" applyFont="1" applyFill="1" applyBorder="1" applyAlignment="1">
      <alignment vertical="center"/>
    </xf>
    <xf numFmtId="0" fontId="9" fillId="13" borderId="6" xfId="0" applyFont="1" applyFill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0" fontId="10" fillId="10" borderId="1" xfId="0" applyFont="1" applyFill="1" applyBorder="1" applyAlignment="1">
      <alignment vertical="center"/>
    </xf>
    <xf numFmtId="9" fontId="5" fillId="0" borderId="1" xfId="0" applyNumberFormat="1" applyFont="1" applyBorder="1" applyAlignment="1">
      <alignment horizontal="center"/>
    </xf>
    <xf numFmtId="0" fontId="10" fillId="11" borderId="1" xfId="0" applyFont="1" applyFill="1" applyBorder="1" applyAlignment="1">
      <alignment vertical="center"/>
    </xf>
    <xf numFmtId="0" fontId="10" fillId="12" borderId="1" xfId="0" applyFont="1" applyFill="1" applyBorder="1" applyAlignment="1">
      <alignment vertical="center"/>
    </xf>
    <xf numFmtId="0" fontId="10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vertical="center"/>
    </xf>
    <xf numFmtId="0" fontId="11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6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/>
    </xf>
    <xf numFmtId="0" fontId="11" fillId="6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5" fillId="7" borderId="1" xfId="0" applyNumberFormat="1" applyFont="1" applyFill="1" applyBorder="1" applyAlignment="1">
      <alignment horizontal="center"/>
    </xf>
    <xf numFmtId="9" fontId="5" fillId="5" borderId="1" xfId="0" applyNumberFormat="1" applyFont="1" applyFill="1" applyBorder="1" applyAlignment="1">
      <alignment horizontal="center"/>
    </xf>
    <xf numFmtId="9" fontId="0" fillId="1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1"/>
  <sheetViews>
    <sheetView tabSelected="1" topLeftCell="E145" zoomScaleNormal="100" workbookViewId="0">
      <selection activeCell="K20" sqref="K20"/>
    </sheetView>
  </sheetViews>
  <sheetFormatPr defaultRowHeight="15" x14ac:dyDescent="0.25"/>
  <cols>
    <col min="3" max="3" width="22.28515625" bestFit="1" customWidth="1"/>
    <col min="12" max="12" width="51.85546875" bestFit="1" customWidth="1"/>
    <col min="13" max="13" width="6.85546875" style="31" bestFit="1" customWidth="1"/>
    <col min="14" max="14" width="11.28515625" style="31" customWidth="1"/>
    <col min="15" max="17" width="12.7109375" style="31" customWidth="1"/>
    <col min="18" max="18" width="9.28515625" style="31" bestFit="1" customWidth="1"/>
  </cols>
  <sheetData>
    <row r="1" spans="1:18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L1" s="12" t="s">
        <v>30</v>
      </c>
      <c r="M1" s="13" t="s">
        <v>31</v>
      </c>
      <c r="N1" s="13" t="s">
        <v>32</v>
      </c>
      <c r="O1" s="13" t="s">
        <v>33</v>
      </c>
      <c r="P1" s="13" t="s">
        <v>32</v>
      </c>
      <c r="Q1" s="14" t="s">
        <v>34</v>
      </c>
      <c r="R1" s="13" t="s">
        <v>35</v>
      </c>
    </row>
    <row r="2" spans="1:18" x14ac:dyDescent="0.25">
      <c r="A2" s="62">
        <v>1</v>
      </c>
      <c r="B2" s="3"/>
      <c r="C2" s="4" t="s">
        <v>7</v>
      </c>
      <c r="D2" s="3">
        <f>(96*11)+(128*3)</f>
        <v>1440</v>
      </c>
      <c r="E2" s="3">
        <f>(766*11)+(1023*3)</f>
        <v>11495</v>
      </c>
      <c r="F2" s="5">
        <v>200</v>
      </c>
      <c r="G2" s="5"/>
      <c r="L2" s="46" t="s">
        <v>269</v>
      </c>
      <c r="M2" s="50">
        <v>16</v>
      </c>
      <c r="N2" s="47" t="s">
        <v>37</v>
      </c>
      <c r="O2" s="50">
        <v>64</v>
      </c>
      <c r="P2" s="65" t="s">
        <v>413</v>
      </c>
      <c r="Q2" s="50">
        <v>320</v>
      </c>
      <c r="R2" s="47" t="s">
        <v>14</v>
      </c>
    </row>
    <row r="3" spans="1:18" x14ac:dyDescent="0.25">
      <c r="A3" s="63"/>
      <c r="B3" s="3"/>
      <c r="C3" s="3" t="s">
        <v>8</v>
      </c>
      <c r="D3" s="3">
        <f>(SUM(M2:M148))+(8*14)</f>
        <v>1978</v>
      </c>
      <c r="E3" s="3">
        <f>(SUM(O2:O148))+(16*14)</f>
        <v>7502</v>
      </c>
      <c r="F3" s="5">
        <v>183</v>
      </c>
      <c r="G3" s="5"/>
      <c r="L3" s="48" t="s">
        <v>270</v>
      </c>
      <c r="M3" s="51">
        <v>16</v>
      </c>
      <c r="N3" s="47" t="s">
        <v>37</v>
      </c>
      <c r="O3" s="50">
        <v>64</v>
      </c>
      <c r="P3" s="65" t="s">
        <v>413</v>
      </c>
      <c r="Q3" s="50">
        <v>320</v>
      </c>
      <c r="R3" s="47" t="s">
        <v>14</v>
      </c>
    </row>
    <row r="4" spans="1:18" x14ac:dyDescent="0.25">
      <c r="A4" s="64"/>
      <c r="B4" s="3"/>
      <c r="C4" s="6" t="s">
        <v>9</v>
      </c>
      <c r="D4" s="6">
        <f>D2-D3</f>
        <v>-538</v>
      </c>
      <c r="E4" s="6">
        <f>E2-E3</f>
        <v>3993</v>
      </c>
      <c r="F4" s="5">
        <f>F2-F3</f>
        <v>17</v>
      </c>
      <c r="G4" s="5"/>
      <c r="L4" s="49" t="s">
        <v>271</v>
      </c>
      <c r="M4" s="52">
        <v>16</v>
      </c>
      <c r="N4" s="47" t="s">
        <v>37</v>
      </c>
      <c r="O4" s="50">
        <v>64</v>
      </c>
      <c r="P4" s="65" t="s">
        <v>413</v>
      </c>
      <c r="Q4" s="50">
        <v>320</v>
      </c>
      <c r="R4" s="47" t="s">
        <v>14</v>
      </c>
    </row>
    <row r="5" spans="1:18" x14ac:dyDescent="0.25">
      <c r="L5" s="48" t="s">
        <v>272</v>
      </c>
      <c r="M5" s="51">
        <v>16</v>
      </c>
      <c r="N5" s="47" t="s">
        <v>37</v>
      </c>
      <c r="O5" s="51">
        <v>32</v>
      </c>
      <c r="P5" s="47" t="s">
        <v>14</v>
      </c>
      <c r="Q5" s="51">
        <v>150</v>
      </c>
      <c r="R5" s="47" t="s">
        <v>14</v>
      </c>
    </row>
    <row r="6" spans="1:18" x14ac:dyDescent="0.25">
      <c r="L6" s="49" t="s">
        <v>273</v>
      </c>
      <c r="M6" s="52">
        <v>16</v>
      </c>
      <c r="N6" s="47" t="s">
        <v>37</v>
      </c>
      <c r="O6" s="51">
        <v>32</v>
      </c>
      <c r="P6" s="47" t="s">
        <v>14</v>
      </c>
      <c r="Q6" s="51">
        <v>150</v>
      </c>
      <c r="R6" s="47" t="s">
        <v>14</v>
      </c>
    </row>
    <row r="7" spans="1:18" ht="31.5" x14ac:dyDescent="0.25">
      <c r="A7" s="7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10</v>
      </c>
      <c r="H7" s="1" t="s">
        <v>11</v>
      </c>
      <c r="L7" s="48" t="s">
        <v>274</v>
      </c>
      <c r="M7" s="51">
        <v>16</v>
      </c>
      <c r="N7" s="47" t="s">
        <v>37</v>
      </c>
      <c r="O7" s="51">
        <v>96</v>
      </c>
      <c r="P7" s="65" t="s">
        <v>16</v>
      </c>
      <c r="Q7" s="50">
        <v>320</v>
      </c>
      <c r="R7" s="47" t="s">
        <v>14</v>
      </c>
    </row>
    <row r="8" spans="1:18" ht="16.5" x14ac:dyDescent="0.25">
      <c r="A8" s="8"/>
      <c r="B8" s="8"/>
      <c r="C8" s="9" t="s">
        <v>12</v>
      </c>
      <c r="D8" s="3" t="s">
        <v>13</v>
      </c>
      <c r="E8" s="10" t="s">
        <v>14</v>
      </c>
      <c r="F8" s="3"/>
      <c r="G8" s="3"/>
      <c r="H8" s="10" t="s">
        <v>14</v>
      </c>
      <c r="L8" s="49" t="s">
        <v>275</v>
      </c>
      <c r="M8" s="52">
        <v>16</v>
      </c>
      <c r="N8" s="47" t="s">
        <v>37</v>
      </c>
      <c r="O8" s="51">
        <v>96</v>
      </c>
      <c r="P8" s="65" t="s">
        <v>16</v>
      </c>
      <c r="Q8" s="50">
        <v>320</v>
      </c>
      <c r="R8" s="47" t="s">
        <v>14</v>
      </c>
    </row>
    <row r="9" spans="1:18" ht="16.5" x14ac:dyDescent="0.25">
      <c r="A9" s="8"/>
      <c r="B9" s="8"/>
      <c r="C9" s="9" t="s">
        <v>15</v>
      </c>
      <c r="D9" s="3" t="s">
        <v>16</v>
      </c>
      <c r="E9" s="10" t="s">
        <v>14</v>
      </c>
      <c r="F9" s="3"/>
      <c r="G9" s="3"/>
      <c r="H9" s="10" t="s">
        <v>14</v>
      </c>
      <c r="L9" s="48" t="s">
        <v>276</v>
      </c>
      <c r="M9" s="51">
        <v>16</v>
      </c>
      <c r="N9" s="47" t="s">
        <v>37</v>
      </c>
      <c r="O9" s="51">
        <v>96</v>
      </c>
      <c r="P9" s="65" t="s">
        <v>16</v>
      </c>
      <c r="Q9" s="50">
        <v>320</v>
      </c>
      <c r="R9" s="47" t="s">
        <v>14</v>
      </c>
    </row>
    <row r="10" spans="1:18" ht="16.5" x14ac:dyDescent="0.25">
      <c r="A10" s="8"/>
      <c r="B10" s="8"/>
      <c r="C10" s="9" t="s">
        <v>17</v>
      </c>
      <c r="D10" s="3" t="s">
        <v>13</v>
      </c>
      <c r="E10" s="10" t="s">
        <v>14</v>
      </c>
      <c r="F10" s="3"/>
      <c r="G10" s="3"/>
      <c r="H10" s="10" t="s">
        <v>14</v>
      </c>
      <c r="L10" s="49" t="s">
        <v>277</v>
      </c>
      <c r="M10" s="52">
        <v>8</v>
      </c>
      <c r="N10" s="47" t="s">
        <v>37</v>
      </c>
      <c r="O10" s="52">
        <v>12</v>
      </c>
      <c r="P10" s="47" t="s">
        <v>14</v>
      </c>
      <c r="Q10" s="51">
        <v>150</v>
      </c>
      <c r="R10" s="47" t="s">
        <v>14</v>
      </c>
    </row>
    <row r="11" spans="1:18" ht="16.5" x14ac:dyDescent="0.25">
      <c r="A11" s="8"/>
      <c r="B11" s="8"/>
      <c r="C11" s="9" t="s">
        <v>18</v>
      </c>
      <c r="D11" s="3" t="s">
        <v>16</v>
      </c>
      <c r="E11" s="10" t="s">
        <v>14</v>
      </c>
      <c r="F11" s="3"/>
      <c r="G11" s="3"/>
      <c r="H11" s="10" t="s">
        <v>14</v>
      </c>
      <c r="L11" s="48" t="s">
        <v>278</v>
      </c>
      <c r="M11" s="51">
        <v>16</v>
      </c>
      <c r="N11" s="47" t="s">
        <v>37</v>
      </c>
      <c r="O11" s="51">
        <v>64</v>
      </c>
      <c r="P11" s="65" t="s">
        <v>413</v>
      </c>
      <c r="Q11" s="51">
        <v>150</v>
      </c>
      <c r="R11" s="47" t="s">
        <v>14</v>
      </c>
    </row>
    <row r="12" spans="1:18" ht="16.5" x14ac:dyDescent="0.25">
      <c r="A12" s="8"/>
      <c r="B12" s="8"/>
      <c r="C12" s="9" t="s">
        <v>19</v>
      </c>
      <c r="D12" s="3" t="s">
        <v>16</v>
      </c>
      <c r="E12" s="10" t="s">
        <v>14</v>
      </c>
      <c r="F12" s="3"/>
      <c r="G12" s="3"/>
      <c r="H12" s="10" t="s">
        <v>14</v>
      </c>
      <c r="L12" s="49" t="s">
        <v>279</v>
      </c>
      <c r="M12" s="52">
        <v>16</v>
      </c>
      <c r="N12" s="47" t="s">
        <v>37</v>
      </c>
      <c r="O12" s="51">
        <v>64</v>
      </c>
      <c r="P12" s="65" t="s">
        <v>413</v>
      </c>
      <c r="Q12" s="51">
        <v>150</v>
      </c>
      <c r="R12" s="47" t="s">
        <v>14</v>
      </c>
    </row>
    <row r="13" spans="1:18" ht="16.5" x14ac:dyDescent="0.25">
      <c r="A13" s="8"/>
      <c r="B13" s="8"/>
      <c r="C13" s="9" t="s">
        <v>20</v>
      </c>
      <c r="D13" s="3" t="s">
        <v>16</v>
      </c>
      <c r="E13" s="10" t="s">
        <v>14</v>
      </c>
      <c r="F13" s="3"/>
      <c r="G13" s="3"/>
      <c r="H13" s="10" t="s">
        <v>14</v>
      </c>
      <c r="L13" s="48" t="s">
        <v>280</v>
      </c>
      <c r="M13" s="51">
        <v>8</v>
      </c>
      <c r="N13" s="47" t="s">
        <v>37</v>
      </c>
      <c r="O13" s="51">
        <v>16</v>
      </c>
      <c r="P13" s="47" t="s">
        <v>14</v>
      </c>
      <c r="Q13" s="51">
        <v>260</v>
      </c>
      <c r="R13" s="47" t="s">
        <v>14</v>
      </c>
    </row>
    <row r="14" spans="1:18" ht="16.5" x14ac:dyDescent="0.25">
      <c r="A14" s="8"/>
      <c r="B14" s="8"/>
      <c r="C14" s="9" t="s">
        <v>21</v>
      </c>
      <c r="D14" s="3" t="s">
        <v>16</v>
      </c>
      <c r="E14" s="10" t="s">
        <v>14</v>
      </c>
      <c r="F14" s="3"/>
      <c r="G14" s="3"/>
      <c r="H14" s="10" t="s">
        <v>14</v>
      </c>
      <c r="L14" s="49" t="s">
        <v>281</v>
      </c>
      <c r="M14" s="52">
        <v>16</v>
      </c>
      <c r="N14" s="47" t="s">
        <v>37</v>
      </c>
      <c r="O14" s="52">
        <v>64</v>
      </c>
      <c r="P14" s="65" t="s">
        <v>414</v>
      </c>
      <c r="Q14" s="52">
        <v>320</v>
      </c>
      <c r="R14" s="47" t="s">
        <v>14</v>
      </c>
    </row>
    <row r="15" spans="1:18" ht="16.5" x14ac:dyDescent="0.25">
      <c r="A15" s="8"/>
      <c r="B15" s="8"/>
      <c r="C15" s="9" t="s">
        <v>22</v>
      </c>
      <c r="D15" s="3" t="s">
        <v>16</v>
      </c>
      <c r="E15" s="10" t="s">
        <v>14</v>
      </c>
      <c r="F15" s="3"/>
      <c r="G15" s="3"/>
      <c r="H15" s="10" t="s">
        <v>14</v>
      </c>
      <c r="L15" s="48" t="s">
        <v>282</v>
      </c>
      <c r="M15" s="51">
        <v>16</v>
      </c>
      <c r="N15" s="47" t="s">
        <v>37</v>
      </c>
      <c r="O15" s="52">
        <v>64</v>
      </c>
      <c r="P15" s="65" t="s">
        <v>414</v>
      </c>
      <c r="Q15" s="52">
        <v>320</v>
      </c>
      <c r="R15" s="47" t="s">
        <v>14</v>
      </c>
    </row>
    <row r="16" spans="1:18" ht="16.5" x14ac:dyDescent="0.25">
      <c r="A16" s="8"/>
      <c r="B16" s="8"/>
      <c r="C16" s="9" t="s">
        <v>23</v>
      </c>
      <c r="D16" s="3" t="s">
        <v>16</v>
      </c>
      <c r="E16" s="10" t="s">
        <v>14</v>
      </c>
      <c r="F16" s="3"/>
      <c r="G16" s="3"/>
      <c r="H16" s="10" t="s">
        <v>14</v>
      </c>
      <c r="L16" s="49" t="s">
        <v>283</v>
      </c>
      <c r="M16" s="52">
        <v>16</v>
      </c>
      <c r="N16" s="47" t="s">
        <v>37</v>
      </c>
      <c r="O16" s="52">
        <v>64</v>
      </c>
      <c r="P16" s="65" t="s">
        <v>414</v>
      </c>
      <c r="Q16" s="52">
        <v>320</v>
      </c>
      <c r="R16" s="47" t="s">
        <v>14</v>
      </c>
    </row>
    <row r="17" spans="1:18" ht="16.5" x14ac:dyDescent="0.25">
      <c r="A17" s="8"/>
      <c r="B17" s="8"/>
      <c r="C17" s="9" t="s">
        <v>24</v>
      </c>
      <c r="D17" s="3" t="s">
        <v>16</v>
      </c>
      <c r="E17" s="10" t="s">
        <v>14</v>
      </c>
      <c r="F17" s="3"/>
      <c r="G17" s="3"/>
      <c r="H17" s="10" t="s">
        <v>14</v>
      </c>
      <c r="L17" s="48" t="s">
        <v>284</v>
      </c>
      <c r="M17" s="51">
        <v>16</v>
      </c>
      <c r="N17" s="47" t="s">
        <v>37</v>
      </c>
      <c r="O17" s="52">
        <v>64</v>
      </c>
      <c r="P17" s="65" t="s">
        <v>16</v>
      </c>
      <c r="Q17" s="52">
        <v>320</v>
      </c>
      <c r="R17" s="47" t="s">
        <v>14</v>
      </c>
    </row>
    <row r="18" spans="1:18" ht="16.5" x14ac:dyDescent="0.25">
      <c r="A18" s="8"/>
      <c r="B18" s="8"/>
      <c r="C18" s="9" t="s">
        <v>25</v>
      </c>
      <c r="D18" s="3" t="s">
        <v>16</v>
      </c>
      <c r="E18" s="10" t="s">
        <v>14</v>
      </c>
      <c r="F18" s="3"/>
      <c r="G18" s="3"/>
      <c r="H18" s="10" t="s">
        <v>14</v>
      </c>
      <c r="L18" s="49" t="s">
        <v>285</v>
      </c>
      <c r="M18" s="52">
        <v>16</v>
      </c>
      <c r="N18" s="47" t="s">
        <v>37</v>
      </c>
      <c r="O18" s="52">
        <v>64</v>
      </c>
      <c r="P18" s="65" t="s">
        <v>16</v>
      </c>
      <c r="Q18" s="52">
        <v>320</v>
      </c>
      <c r="R18" s="47" t="s">
        <v>14</v>
      </c>
    </row>
    <row r="19" spans="1:18" ht="16.5" x14ac:dyDescent="0.25">
      <c r="A19" s="8"/>
      <c r="B19" s="8"/>
      <c r="C19" s="9" t="s">
        <v>26</v>
      </c>
      <c r="D19" s="3" t="s">
        <v>16</v>
      </c>
      <c r="E19" s="10" t="s">
        <v>14</v>
      </c>
      <c r="F19" s="10"/>
      <c r="G19" s="10"/>
      <c r="H19" s="10" t="s">
        <v>14</v>
      </c>
      <c r="L19" s="48" t="s">
        <v>286</v>
      </c>
      <c r="M19" s="51">
        <v>16</v>
      </c>
      <c r="N19" s="47" t="s">
        <v>37</v>
      </c>
      <c r="O19" s="52">
        <v>64</v>
      </c>
      <c r="P19" s="65" t="s">
        <v>16</v>
      </c>
      <c r="Q19" s="52">
        <v>320</v>
      </c>
      <c r="R19" s="47" t="s">
        <v>14</v>
      </c>
    </row>
    <row r="20" spans="1:18" ht="16.5" x14ac:dyDescent="0.25">
      <c r="A20" s="8"/>
      <c r="B20" s="8"/>
      <c r="C20" s="9" t="s">
        <v>27</v>
      </c>
      <c r="D20" s="3" t="s">
        <v>16</v>
      </c>
      <c r="E20" s="10" t="s">
        <v>14</v>
      </c>
      <c r="F20" s="10"/>
      <c r="G20" s="10"/>
      <c r="H20" s="10" t="s">
        <v>14</v>
      </c>
      <c r="L20" s="45" t="s">
        <v>287</v>
      </c>
      <c r="M20" s="52">
        <v>4</v>
      </c>
      <c r="N20" s="47" t="s">
        <v>37</v>
      </c>
      <c r="O20" s="52">
        <v>16</v>
      </c>
      <c r="P20" s="47" t="s">
        <v>14</v>
      </c>
      <c r="Q20" s="52">
        <v>500</v>
      </c>
      <c r="R20" s="47" t="s">
        <v>14</v>
      </c>
    </row>
    <row r="21" spans="1:18" ht="16.5" x14ac:dyDescent="0.25">
      <c r="A21" s="11"/>
      <c r="B21" s="11"/>
      <c r="C21" s="9" t="s">
        <v>28</v>
      </c>
      <c r="D21" s="3" t="s">
        <v>29</v>
      </c>
      <c r="E21" s="10" t="s">
        <v>14</v>
      </c>
      <c r="F21" s="10"/>
      <c r="G21" s="11"/>
      <c r="H21" s="10" t="s">
        <v>14</v>
      </c>
      <c r="L21" s="45" t="s">
        <v>288</v>
      </c>
      <c r="M21" s="51">
        <v>4</v>
      </c>
      <c r="N21" s="47" t="s">
        <v>37</v>
      </c>
      <c r="O21" s="52">
        <v>16</v>
      </c>
      <c r="P21" s="47" t="s">
        <v>14</v>
      </c>
      <c r="Q21" s="51">
        <v>120</v>
      </c>
      <c r="R21" s="47" t="s">
        <v>14</v>
      </c>
    </row>
    <row r="22" spans="1:18" x14ac:dyDescent="0.25">
      <c r="L22" s="45" t="s">
        <v>289</v>
      </c>
      <c r="M22" s="52">
        <v>4</v>
      </c>
      <c r="N22" s="47" t="s">
        <v>37</v>
      </c>
      <c r="O22" s="52">
        <v>16</v>
      </c>
      <c r="P22" s="47" t="s">
        <v>14</v>
      </c>
      <c r="Q22" s="51">
        <v>120</v>
      </c>
      <c r="R22" s="47" t="s">
        <v>14</v>
      </c>
    </row>
    <row r="23" spans="1:18" x14ac:dyDescent="0.25">
      <c r="L23" s="45" t="s">
        <v>290</v>
      </c>
      <c r="M23" s="51">
        <v>4</v>
      </c>
      <c r="N23" s="47" t="s">
        <v>37</v>
      </c>
      <c r="O23" s="52">
        <v>16</v>
      </c>
      <c r="P23" s="66" t="s">
        <v>40</v>
      </c>
      <c r="Q23" s="51">
        <v>64</v>
      </c>
      <c r="R23" s="47" t="s">
        <v>14</v>
      </c>
    </row>
    <row r="24" spans="1:18" x14ac:dyDescent="0.25">
      <c r="L24" s="45" t="s">
        <v>291</v>
      </c>
      <c r="M24" s="52">
        <v>4</v>
      </c>
      <c r="N24" s="47" t="s">
        <v>37</v>
      </c>
      <c r="O24" s="52">
        <v>16</v>
      </c>
      <c r="P24" s="66" t="s">
        <v>40</v>
      </c>
      <c r="Q24" s="52">
        <v>256</v>
      </c>
      <c r="R24" s="47" t="s">
        <v>14</v>
      </c>
    </row>
    <row r="25" spans="1:18" x14ac:dyDescent="0.25">
      <c r="L25" s="45" t="s">
        <v>292</v>
      </c>
      <c r="M25" s="51">
        <v>4</v>
      </c>
      <c r="N25" s="47" t="s">
        <v>37</v>
      </c>
      <c r="O25" s="52">
        <v>16</v>
      </c>
      <c r="P25" s="47" t="s">
        <v>14</v>
      </c>
      <c r="Q25" s="51">
        <v>128</v>
      </c>
      <c r="R25" s="47" t="s">
        <v>14</v>
      </c>
    </row>
    <row r="26" spans="1:18" x14ac:dyDescent="0.25">
      <c r="L26" s="45" t="s">
        <v>293</v>
      </c>
      <c r="M26" s="52">
        <v>4</v>
      </c>
      <c r="N26" s="47" t="s">
        <v>37</v>
      </c>
      <c r="O26" s="52">
        <v>16</v>
      </c>
      <c r="P26" s="47" t="s">
        <v>14</v>
      </c>
      <c r="Q26" s="52">
        <v>128</v>
      </c>
      <c r="R26" s="47" t="s">
        <v>14</v>
      </c>
    </row>
    <row r="27" spans="1:18" x14ac:dyDescent="0.25">
      <c r="L27" s="45" t="s">
        <v>294</v>
      </c>
      <c r="M27" s="51">
        <v>4</v>
      </c>
      <c r="N27" s="47" t="s">
        <v>37</v>
      </c>
      <c r="O27" s="52">
        <v>16</v>
      </c>
      <c r="P27" s="47" t="s">
        <v>14</v>
      </c>
      <c r="Q27" s="52">
        <v>256</v>
      </c>
      <c r="R27" s="47" t="s">
        <v>14</v>
      </c>
    </row>
    <row r="28" spans="1:18" x14ac:dyDescent="0.25">
      <c r="L28" s="45" t="s">
        <v>295</v>
      </c>
      <c r="M28" s="52">
        <v>4</v>
      </c>
      <c r="N28" s="47" t="s">
        <v>37</v>
      </c>
      <c r="O28" s="52">
        <v>16</v>
      </c>
      <c r="P28" s="47" t="s">
        <v>14</v>
      </c>
      <c r="Q28" s="52">
        <v>256</v>
      </c>
      <c r="R28" s="47" t="s">
        <v>14</v>
      </c>
    </row>
    <row r="29" spans="1:18" x14ac:dyDescent="0.25">
      <c r="L29" s="45" t="s">
        <v>296</v>
      </c>
      <c r="M29" s="51">
        <v>4</v>
      </c>
      <c r="N29" s="47" t="s">
        <v>37</v>
      </c>
      <c r="O29" s="52">
        <v>16</v>
      </c>
      <c r="P29" s="47" t="s">
        <v>14</v>
      </c>
      <c r="Q29" s="51">
        <v>180</v>
      </c>
      <c r="R29" s="47" t="s">
        <v>14</v>
      </c>
    </row>
    <row r="30" spans="1:18" x14ac:dyDescent="0.25">
      <c r="L30" s="49" t="s">
        <v>297</v>
      </c>
      <c r="M30" s="52">
        <v>8</v>
      </c>
      <c r="N30" s="47" t="s">
        <v>37</v>
      </c>
      <c r="O30" s="52">
        <v>16</v>
      </c>
      <c r="P30" s="47" t="s">
        <v>14</v>
      </c>
      <c r="Q30" s="52">
        <v>600</v>
      </c>
      <c r="R30" s="47" t="s">
        <v>14</v>
      </c>
    </row>
    <row r="31" spans="1:18" x14ac:dyDescent="0.25">
      <c r="L31" s="48" t="s">
        <v>298</v>
      </c>
      <c r="M31" s="51">
        <v>8</v>
      </c>
      <c r="N31" s="47" t="s">
        <v>37</v>
      </c>
      <c r="O31" s="52">
        <v>16</v>
      </c>
      <c r="P31" s="47" t="s">
        <v>14</v>
      </c>
      <c r="Q31" s="52">
        <v>600</v>
      </c>
      <c r="R31" s="47" t="s">
        <v>14</v>
      </c>
    </row>
    <row r="32" spans="1:18" x14ac:dyDescent="0.25">
      <c r="L32" s="49" t="s">
        <v>299</v>
      </c>
      <c r="M32" s="52">
        <v>4</v>
      </c>
      <c r="N32" s="47" t="s">
        <v>37</v>
      </c>
      <c r="O32" s="52">
        <v>16</v>
      </c>
      <c r="P32" s="47" t="s">
        <v>14</v>
      </c>
      <c r="Q32" s="52">
        <v>200</v>
      </c>
      <c r="R32" s="47" t="s">
        <v>14</v>
      </c>
    </row>
    <row r="33" spans="12:18" x14ac:dyDescent="0.25">
      <c r="L33" s="48" t="s">
        <v>300</v>
      </c>
      <c r="M33" s="51">
        <v>4</v>
      </c>
      <c r="N33" s="47" t="s">
        <v>37</v>
      </c>
      <c r="O33" s="52">
        <v>16</v>
      </c>
      <c r="P33" s="47" t="s">
        <v>14</v>
      </c>
      <c r="Q33" s="52">
        <v>200</v>
      </c>
      <c r="R33" s="47" t="s">
        <v>14</v>
      </c>
    </row>
    <row r="34" spans="12:18" x14ac:dyDescent="0.25">
      <c r="L34" s="49" t="s">
        <v>301</v>
      </c>
      <c r="M34" s="52">
        <v>4</v>
      </c>
      <c r="N34" s="47" t="s">
        <v>37</v>
      </c>
      <c r="O34" s="52">
        <v>16</v>
      </c>
      <c r="P34" s="47" t="s">
        <v>14</v>
      </c>
      <c r="Q34" s="52">
        <v>200</v>
      </c>
      <c r="R34" s="47" t="s">
        <v>14</v>
      </c>
    </row>
    <row r="35" spans="12:18" x14ac:dyDescent="0.25">
      <c r="L35" s="48" t="s">
        <v>302</v>
      </c>
      <c r="M35" s="51">
        <v>4</v>
      </c>
      <c r="N35" s="47" t="s">
        <v>37</v>
      </c>
      <c r="O35" s="52">
        <v>16</v>
      </c>
      <c r="P35" s="47" t="s">
        <v>14</v>
      </c>
      <c r="Q35" s="52">
        <v>200</v>
      </c>
      <c r="R35" s="47" t="s">
        <v>14</v>
      </c>
    </row>
    <row r="36" spans="12:18" x14ac:dyDescent="0.25">
      <c r="L36" s="49" t="s">
        <v>303</v>
      </c>
      <c r="M36" s="52">
        <v>4</v>
      </c>
      <c r="N36" s="47" t="s">
        <v>37</v>
      </c>
      <c r="O36" s="52">
        <v>90</v>
      </c>
      <c r="P36" s="65" t="s">
        <v>16</v>
      </c>
      <c r="Q36" s="52">
        <v>300</v>
      </c>
      <c r="R36" s="47" t="s">
        <v>14</v>
      </c>
    </row>
    <row r="37" spans="12:18" x14ac:dyDescent="0.25">
      <c r="L37" s="49" t="s">
        <v>60</v>
      </c>
      <c r="M37" s="52">
        <v>8</v>
      </c>
      <c r="N37" s="47" t="s">
        <v>37</v>
      </c>
      <c r="O37" s="52">
        <v>32</v>
      </c>
      <c r="P37" s="65" t="s">
        <v>16</v>
      </c>
      <c r="Q37" s="52">
        <v>150</v>
      </c>
      <c r="R37" s="47" t="s">
        <v>14</v>
      </c>
    </row>
    <row r="38" spans="12:18" x14ac:dyDescent="0.25">
      <c r="L38" s="48" t="s">
        <v>61</v>
      </c>
      <c r="M38" s="51">
        <v>8</v>
      </c>
      <c r="N38" s="47" t="s">
        <v>37</v>
      </c>
      <c r="O38" s="52">
        <v>32</v>
      </c>
      <c r="P38" s="65" t="s">
        <v>16</v>
      </c>
      <c r="Q38" s="52">
        <v>150</v>
      </c>
      <c r="R38" s="47" t="s">
        <v>14</v>
      </c>
    </row>
    <row r="39" spans="12:18" x14ac:dyDescent="0.25">
      <c r="L39" s="49" t="s">
        <v>62</v>
      </c>
      <c r="M39" s="52">
        <v>8</v>
      </c>
      <c r="N39" s="47" t="s">
        <v>37</v>
      </c>
      <c r="O39" s="52">
        <v>32</v>
      </c>
      <c r="P39" s="65" t="s">
        <v>16</v>
      </c>
      <c r="Q39" s="52">
        <v>150</v>
      </c>
      <c r="R39" s="47" t="s">
        <v>14</v>
      </c>
    </row>
    <row r="40" spans="12:18" x14ac:dyDescent="0.25">
      <c r="L40" s="48" t="s">
        <v>304</v>
      </c>
      <c r="M40" s="51">
        <v>16</v>
      </c>
      <c r="N40" s="47" t="s">
        <v>37</v>
      </c>
      <c r="O40" s="51">
        <v>48</v>
      </c>
      <c r="P40" s="65" t="s">
        <v>415</v>
      </c>
      <c r="Q40" s="51">
        <v>1650</v>
      </c>
      <c r="R40" s="47" t="s">
        <v>14</v>
      </c>
    </row>
    <row r="41" spans="12:18" x14ac:dyDescent="0.25">
      <c r="L41" s="49" t="s">
        <v>305</v>
      </c>
      <c r="M41" s="52">
        <v>16</v>
      </c>
      <c r="N41" s="47" t="s">
        <v>37</v>
      </c>
      <c r="O41" s="51">
        <v>48</v>
      </c>
      <c r="P41" s="65" t="s">
        <v>415</v>
      </c>
      <c r="Q41" s="51">
        <v>1650</v>
      </c>
      <c r="R41" s="47" t="s">
        <v>14</v>
      </c>
    </row>
    <row r="42" spans="12:18" x14ac:dyDescent="0.25">
      <c r="L42" s="48" t="s">
        <v>45</v>
      </c>
      <c r="M42" s="51">
        <v>2</v>
      </c>
      <c r="N42" s="47" t="s">
        <v>37</v>
      </c>
      <c r="O42" s="51">
        <v>4</v>
      </c>
      <c r="P42" s="47" t="s">
        <v>14</v>
      </c>
      <c r="Q42" s="51">
        <v>3900</v>
      </c>
      <c r="R42" s="47" t="s">
        <v>14</v>
      </c>
    </row>
    <row r="43" spans="12:18" x14ac:dyDescent="0.25">
      <c r="L43" s="49" t="s">
        <v>46</v>
      </c>
      <c r="M43" s="52">
        <v>2</v>
      </c>
      <c r="N43" s="47" t="s">
        <v>37</v>
      </c>
      <c r="O43" s="51">
        <v>4</v>
      </c>
      <c r="P43" s="47" t="s">
        <v>14</v>
      </c>
      <c r="Q43" s="52">
        <v>300</v>
      </c>
      <c r="R43" s="47" t="s">
        <v>14</v>
      </c>
    </row>
    <row r="44" spans="12:18" x14ac:dyDescent="0.25">
      <c r="L44" s="48" t="s">
        <v>55</v>
      </c>
      <c r="M44" s="51">
        <v>24</v>
      </c>
      <c r="N44" s="47" t="s">
        <v>37</v>
      </c>
      <c r="O44" s="51">
        <v>96</v>
      </c>
      <c r="P44" s="65" t="s">
        <v>416</v>
      </c>
      <c r="Q44" s="51">
        <v>380</v>
      </c>
      <c r="R44" s="47" t="s">
        <v>14</v>
      </c>
    </row>
    <row r="45" spans="12:18" x14ac:dyDescent="0.25">
      <c r="L45" s="49" t="s">
        <v>56</v>
      </c>
      <c r="M45" s="52">
        <v>24</v>
      </c>
      <c r="N45" s="47" t="s">
        <v>37</v>
      </c>
      <c r="O45" s="51">
        <v>96</v>
      </c>
      <c r="P45" s="65" t="s">
        <v>416</v>
      </c>
      <c r="Q45" s="51">
        <v>380</v>
      </c>
      <c r="R45" s="47" t="s">
        <v>14</v>
      </c>
    </row>
    <row r="46" spans="12:18" x14ac:dyDescent="0.25">
      <c r="L46" s="48" t="s">
        <v>57</v>
      </c>
      <c r="M46" s="51">
        <v>24</v>
      </c>
      <c r="N46" s="47" t="s">
        <v>37</v>
      </c>
      <c r="O46" s="51">
        <v>96</v>
      </c>
      <c r="P46" s="65" t="s">
        <v>416</v>
      </c>
      <c r="Q46" s="51">
        <v>380</v>
      </c>
      <c r="R46" s="47" t="s">
        <v>14</v>
      </c>
    </row>
    <row r="47" spans="12:18" x14ac:dyDescent="0.25">
      <c r="L47" s="49" t="s">
        <v>58</v>
      </c>
      <c r="M47" s="52">
        <v>24</v>
      </c>
      <c r="N47" s="47" t="s">
        <v>37</v>
      </c>
      <c r="O47" s="51">
        <v>96</v>
      </c>
      <c r="P47" s="65" t="s">
        <v>416</v>
      </c>
      <c r="Q47" s="51">
        <v>380</v>
      </c>
      <c r="R47" s="47" t="s">
        <v>14</v>
      </c>
    </row>
    <row r="48" spans="12:18" x14ac:dyDescent="0.25">
      <c r="L48" s="48" t="s">
        <v>38</v>
      </c>
      <c r="M48" s="51">
        <v>8</v>
      </c>
      <c r="N48" s="47" t="s">
        <v>37</v>
      </c>
      <c r="O48" s="51">
        <v>64</v>
      </c>
      <c r="P48" s="65" t="s">
        <v>16</v>
      </c>
      <c r="Q48" s="51">
        <v>340</v>
      </c>
      <c r="R48" s="47" t="s">
        <v>14</v>
      </c>
    </row>
    <row r="49" spans="12:18" x14ac:dyDescent="0.25">
      <c r="L49" s="49" t="s">
        <v>39</v>
      </c>
      <c r="M49" s="52">
        <v>8</v>
      </c>
      <c r="N49" s="47" t="s">
        <v>37</v>
      </c>
      <c r="O49" s="51">
        <v>64</v>
      </c>
      <c r="P49" s="65" t="s">
        <v>16</v>
      </c>
      <c r="Q49" s="51">
        <v>340</v>
      </c>
      <c r="R49" s="47" t="s">
        <v>14</v>
      </c>
    </row>
    <row r="50" spans="12:18" x14ac:dyDescent="0.25">
      <c r="L50" s="48" t="s">
        <v>306</v>
      </c>
      <c r="M50" s="51">
        <v>16</v>
      </c>
      <c r="N50" s="47" t="s">
        <v>37</v>
      </c>
      <c r="O50" s="51">
        <v>32</v>
      </c>
      <c r="P50" s="65" t="s">
        <v>417</v>
      </c>
      <c r="Q50" s="51">
        <v>260</v>
      </c>
      <c r="R50" s="47" t="s">
        <v>14</v>
      </c>
    </row>
    <row r="51" spans="12:18" x14ac:dyDescent="0.25">
      <c r="L51" s="49" t="s">
        <v>307</v>
      </c>
      <c r="M51" s="52">
        <v>16</v>
      </c>
      <c r="N51" s="47" t="s">
        <v>37</v>
      </c>
      <c r="O51" s="51">
        <v>32</v>
      </c>
      <c r="P51" s="65" t="s">
        <v>417</v>
      </c>
      <c r="Q51" s="51">
        <v>260</v>
      </c>
      <c r="R51" s="47" t="s">
        <v>14</v>
      </c>
    </row>
    <row r="52" spans="12:18" x14ac:dyDescent="0.25">
      <c r="L52" s="48" t="s">
        <v>47</v>
      </c>
      <c r="M52" s="51">
        <v>16</v>
      </c>
      <c r="N52" s="47" t="s">
        <v>37</v>
      </c>
      <c r="O52" s="51">
        <v>64</v>
      </c>
      <c r="P52" s="47" t="s">
        <v>14</v>
      </c>
      <c r="Q52" s="51">
        <v>200</v>
      </c>
      <c r="R52" s="47" t="s">
        <v>14</v>
      </c>
    </row>
    <row r="53" spans="12:18" x14ac:dyDescent="0.25">
      <c r="L53" s="48" t="s">
        <v>308</v>
      </c>
      <c r="M53" s="51">
        <v>2</v>
      </c>
      <c r="N53" s="47" t="s">
        <v>37</v>
      </c>
      <c r="O53" s="51">
        <v>4</v>
      </c>
      <c r="P53" s="47" t="s">
        <v>14</v>
      </c>
      <c r="Q53" s="51">
        <v>80</v>
      </c>
      <c r="R53" s="47" t="s">
        <v>14</v>
      </c>
    </row>
    <row r="54" spans="12:18" x14ac:dyDescent="0.25">
      <c r="L54" s="49" t="s">
        <v>41</v>
      </c>
      <c r="M54" s="52">
        <v>16</v>
      </c>
      <c r="N54" s="47" t="s">
        <v>37</v>
      </c>
      <c r="O54" s="52">
        <v>40</v>
      </c>
      <c r="P54" s="65" t="s">
        <v>416</v>
      </c>
      <c r="Q54" s="52">
        <v>160</v>
      </c>
      <c r="R54" s="47" t="s">
        <v>14</v>
      </c>
    </row>
    <row r="55" spans="12:18" x14ac:dyDescent="0.25">
      <c r="L55" s="48" t="s">
        <v>42</v>
      </c>
      <c r="M55" s="51">
        <v>16</v>
      </c>
      <c r="N55" s="47" t="s">
        <v>37</v>
      </c>
      <c r="O55" s="52">
        <v>40</v>
      </c>
      <c r="P55" s="65" t="s">
        <v>416</v>
      </c>
      <c r="Q55" s="52">
        <v>160</v>
      </c>
      <c r="R55" s="47" t="s">
        <v>14</v>
      </c>
    </row>
    <row r="56" spans="12:18" x14ac:dyDescent="0.25">
      <c r="L56" s="49" t="s">
        <v>43</v>
      </c>
      <c r="M56" s="52">
        <v>4</v>
      </c>
      <c r="N56" s="47" t="s">
        <v>37</v>
      </c>
      <c r="O56" s="52">
        <v>16</v>
      </c>
      <c r="P56" s="47" t="s">
        <v>14</v>
      </c>
      <c r="Q56" s="52">
        <v>160</v>
      </c>
      <c r="R56" s="47" t="s">
        <v>14</v>
      </c>
    </row>
    <row r="57" spans="12:18" x14ac:dyDescent="0.25">
      <c r="L57" s="48" t="s">
        <v>44</v>
      </c>
      <c r="M57" s="51">
        <v>4</v>
      </c>
      <c r="N57" s="47" t="s">
        <v>37</v>
      </c>
      <c r="O57" s="52">
        <v>16</v>
      </c>
      <c r="P57" s="47" t="s">
        <v>14</v>
      </c>
      <c r="Q57" s="52">
        <v>160</v>
      </c>
      <c r="R57" s="47" t="s">
        <v>14</v>
      </c>
    </row>
    <row r="58" spans="12:18" x14ac:dyDescent="0.25">
      <c r="L58" s="49" t="s">
        <v>309</v>
      </c>
      <c r="M58" s="52">
        <v>12</v>
      </c>
      <c r="N58" s="47" t="s">
        <v>37</v>
      </c>
      <c r="O58" s="52">
        <v>48</v>
      </c>
      <c r="P58" s="65" t="s">
        <v>419</v>
      </c>
      <c r="Q58" s="52">
        <v>340</v>
      </c>
      <c r="R58" s="47" t="s">
        <v>14</v>
      </c>
    </row>
    <row r="59" spans="12:18" x14ac:dyDescent="0.25">
      <c r="L59" s="48" t="s">
        <v>310</v>
      </c>
      <c r="M59" s="51">
        <v>12</v>
      </c>
      <c r="N59" s="47" t="s">
        <v>37</v>
      </c>
      <c r="O59" s="52">
        <v>48</v>
      </c>
      <c r="P59" s="65" t="s">
        <v>419</v>
      </c>
      <c r="Q59" s="52">
        <v>340</v>
      </c>
      <c r="R59" s="47" t="s">
        <v>14</v>
      </c>
    </row>
    <row r="60" spans="12:18" x14ac:dyDescent="0.25">
      <c r="L60" s="49" t="s">
        <v>311</v>
      </c>
      <c r="M60" s="52">
        <v>8</v>
      </c>
      <c r="N60" s="47" t="s">
        <v>37</v>
      </c>
      <c r="O60" s="52">
        <v>16</v>
      </c>
      <c r="P60" s="47" t="s">
        <v>14</v>
      </c>
      <c r="Q60" s="52">
        <v>320</v>
      </c>
      <c r="R60" s="47" t="s">
        <v>14</v>
      </c>
    </row>
    <row r="61" spans="12:18" x14ac:dyDescent="0.25">
      <c r="L61" s="48" t="s">
        <v>312</v>
      </c>
      <c r="M61" s="51">
        <v>8</v>
      </c>
      <c r="N61" s="47" t="s">
        <v>37</v>
      </c>
      <c r="O61" s="52">
        <v>16</v>
      </c>
      <c r="P61" s="47" t="s">
        <v>14</v>
      </c>
      <c r="Q61" s="52">
        <v>320</v>
      </c>
      <c r="R61" s="47" t="s">
        <v>14</v>
      </c>
    </row>
    <row r="62" spans="12:18" x14ac:dyDescent="0.25">
      <c r="L62" s="49" t="s">
        <v>313</v>
      </c>
      <c r="M62" s="52">
        <v>16</v>
      </c>
      <c r="N62" s="47" t="s">
        <v>37</v>
      </c>
      <c r="O62" s="52">
        <v>64</v>
      </c>
      <c r="P62" s="65" t="s">
        <v>14</v>
      </c>
      <c r="Q62" s="52">
        <v>340</v>
      </c>
      <c r="R62" s="47" t="s">
        <v>14</v>
      </c>
    </row>
    <row r="63" spans="12:18" x14ac:dyDescent="0.25">
      <c r="L63" s="48" t="s">
        <v>314</v>
      </c>
      <c r="M63" s="51">
        <v>16</v>
      </c>
      <c r="N63" s="47" t="s">
        <v>37</v>
      </c>
      <c r="O63" s="52">
        <v>64</v>
      </c>
      <c r="P63" s="65" t="s">
        <v>14</v>
      </c>
      <c r="Q63" s="52">
        <v>340</v>
      </c>
      <c r="R63" s="47" t="s">
        <v>14</v>
      </c>
    </row>
    <row r="64" spans="12:18" x14ac:dyDescent="0.25">
      <c r="L64" s="49" t="s">
        <v>315</v>
      </c>
      <c r="M64" s="52">
        <v>16</v>
      </c>
      <c r="N64" s="47" t="s">
        <v>37</v>
      </c>
      <c r="O64" s="52">
        <v>64</v>
      </c>
      <c r="P64" s="65" t="s">
        <v>415</v>
      </c>
      <c r="Q64" s="52">
        <v>320</v>
      </c>
      <c r="R64" s="47" t="s">
        <v>14</v>
      </c>
    </row>
    <row r="65" spans="12:18" x14ac:dyDescent="0.25">
      <c r="L65" s="48" t="s">
        <v>316</v>
      </c>
      <c r="M65" s="51">
        <v>16</v>
      </c>
      <c r="N65" s="47" t="s">
        <v>37</v>
      </c>
      <c r="O65" s="52">
        <v>64</v>
      </c>
      <c r="P65" s="65" t="s">
        <v>415</v>
      </c>
      <c r="Q65" s="52">
        <v>340</v>
      </c>
      <c r="R65" s="47" t="s">
        <v>14</v>
      </c>
    </row>
    <row r="66" spans="12:18" x14ac:dyDescent="0.25">
      <c r="L66" s="49" t="s">
        <v>317</v>
      </c>
      <c r="M66" s="52">
        <v>16</v>
      </c>
      <c r="N66" s="47" t="s">
        <v>37</v>
      </c>
      <c r="O66" s="52">
        <v>82</v>
      </c>
      <c r="P66" s="65" t="s">
        <v>418</v>
      </c>
      <c r="Q66" s="52">
        <v>340</v>
      </c>
      <c r="R66" s="47" t="s">
        <v>14</v>
      </c>
    </row>
    <row r="67" spans="12:18" x14ac:dyDescent="0.25">
      <c r="L67" s="48" t="s">
        <v>318</v>
      </c>
      <c r="M67" s="51">
        <v>16</v>
      </c>
      <c r="N67" s="47" t="s">
        <v>37</v>
      </c>
      <c r="O67" s="52">
        <v>82</v>
      </c>
      <c r="P67" s="65" t="s">
        <v>418</v>
      </c>
      <c r="Q67" s="52">
        <v>340</v>
      </c>
      <c r="R67" s="47" t="s">
        <v>14</v>
      </c>
    </row>
    <row r="68" spans="12:18" x14ac:dyDescent="0.25">
      <c r="L68" s="49" t="s">
        <v>319</v>
      </c>
      <c r="M68" s="52">
        <v>16</v>
      </c>
      <c r="N68" s="47" t="s">
        <v>37</v>
      </c>
      <c r="O68" s="52">
        <v>64</v>
      </c>
      <c r="P68" s="65" t="s">
        <v>418</v>
      </c>
      <c r="Q68" s="52">
        <v>340</v>
      </c>
      <c r="R68" s="47" t="s">
        <v>14</v>
      </c>
    </row>
    <row r="69" spans="12:18" x14ac:dyDescent="0.25">
      <c r="L69" s="48" t="s">
        <v>320</v>
      </c>
      <c r="M69" s="51">
        <v>4</v>
      </c>
      <c r="N69" s="47" t="s">
        <v>37</v>
      </c>
      <c r="O69" s="51">
        <v>32</v>
      </c>
      <c r="P69" s="66" t="s">
        <v>14</v>
      </c>
      <c r="Q69" s="51">
        <v>600</v>
      </c>
      <c r="R69" s="47" t="s">
        <v>14</v>
      </c>
    </row>
    <row r="70" spans="12:18" x14ac:dyDescent="0.25">
      <c r="L70" s="49" t="s">
        <v>321</v>
      </c>
      <c r="M70" s="52">
        <v>4</v>
      </c>
      <c r="N70" s="47" t="s">
        <v>37</v>
      </c>
      <c r="O70" s="51">
        <v>32</v>
      </c>
      <c r="P70" s="66" t="s">
        <v>14</v>
      </c>
      <c r="Q70" s="51">
        <v>600</v>
      </c>
      <c r="R70" s="47" t="s">
        <v>14</v>
      </c>
    </row>
    <row r="71" spans="12:18" x14ac:dyDescent="0.25">
      <c r="L71" s="48" t="s">
        <v>322</v>
      </c>
      <c r="M71" s="51">
        <v>12</v>
      </c>
      <c r="N71" s="47" t="s">
        <v>37</v>
      </c>
      <c r="O71" s="51">
        <v>48</v>
      </c>
      <c r="P71" s="65" t="s">
        <v>417</v>
      </c>
      <c r="Q71" s="52">
        <v>340</v>
      </c>
      <c r="R71" s="47" t="s">
        <v>14</v>
      </c>
    </row>
    <row r="72" spans="12:18" x14ac:dyDescent="0.25">
      <c r="L72" s="49" t="s">
        <v>323</v>
      </c>
      <c r="M72" s="52">
        <v>12</v>
      </c>
      <c r="N72" s="47" t="s">
        <v>37</v>
      </c>
      <c r="O72" s="51">
        <v>48</v>
      </c>
      <c r="P72" s="65" t="s">
        <v>417</v>
      </c>
      <c r="Q72" s="52">
        <v>340</v>
      </c>
      <c r="R72" s="47" t="s">
        <v>14</v>
      </c>
    </row>
    <row r="73" spans="12:18" x14ac:dyDescent="0.25">
      <c r="L73" s="48" t="s">
        <v>324</v>
      </c>
      <c r="M73" s="51">
        <v>8</v>
      </c>
      <c r="N73" s="47" t="s">
        <v>37</v>
      </c>
      <c r="O73" s="51">
        <v>32</v>
      </c>
      <c r="P73" s="47" t="s">
        <v>14</v>
      </c>
      <c r="Q73" s="52">
        <v>340</v>
      </c>
      <c r="R73" s="47" t="s">
        <v>14</v>
      </c>
    </row>
    <row r="74" spans="12:18" x14ac:dyDescent="0.25">
      <c r="L74" s="49" t="s">
        <v>325</v>
      </c>
      <c r="M74" s="52">
        <v>8</v>
      </c>
      <c r="N74" s="47" t="s">
        <v>37</v>
      </c>
      <c r="O74" s="51">
        <v>32</v>
      </c>
      <c r="P74" s="47" t="s">
        <v>14</v>
      </c>
      <c r="Q74" s="52">
        <v>340</v>
      </c>
      <c r="R74" s="47" t="s">
        <v>14</v>
      </c>
    </row>
    <row r="75" spans="12:18" x14ac:dyDescent="0.25">
      <c r="L75" s="48" t="s">
        <v>326</v>
      </c>
      <c r="M75" s="51">
        <v>8</v>
      </c>
      <c r="N75" s="47" t="s">
        <v>37</v>
      </c>
      <c r="O75" s="51">
        <v>64</v>
      </c>
      <c r="P75" s="65" t="s">
        <v>420</v>
      </c>
      <c r="Q75" s="52">
        <v>340</v>
      </c>
      <c r="R75" s="47" t="s">
        <v>14</v>
      </c>
    </row>
    <row r="76" spans="12:18" x14ac:dyDescent="0.25">
      <c r="L76" s="49" t="s">
        <v>327</v>
      </c>
      <c r="M76" s="52">
        <v>8</v>
      </c>
      <c r="N76" s="47" t="s">
        <v>37</v>
      </c>
      <c r="O76" s="51">
        <v>64</v>
      </c>
      <c r="P76" s="65" t="s">
        <v>420</v>
      </c>
      <c r="Q76" s="52">
        <v>340</v>
      </c>
      <c r="R76" s="47" t="s">
        <v>14</v>
      </c>
    </row>
    <row r="77" spans="12:18" x14ac:dyDescent="0.25">
      <c r="L77" s="48" t="s">
        <v>328</v>
      </c>
      <c r="M77" s="51">
        <v>8</v>
      </c>
      <c r="N77" s="47" t="s">
        <v>37</v>
      </c>
      <c r="O77" s="51">
        <v>64</v>
      </c>
      <c r="P77" s="65" t="s">
        <v>420</v>
      </c>
      <c r="Q77" s="52">
        <v>340</v>
      </c>
      <c r="R77" s="47" t="s">
        <v>14</v>
      </c>
    </row>
    <row r="78" spans="12:18" x14ac:dyDescent="0.25">
      <c r="L78" s="49" t="s">
        <v>329</v>
      </c>
      <c r="M78" s="52">
        <v>8</v>
      </c>
      <c r="N78" s="47" t="s">
        <v>37</v>
      </c>
      <c r="O78" s="51">
        <v>64</v>
      </c>
      <c r="P78" s="65" t="s">
        <v>420</v>
      </c>
      <c r="Q78" s="52">
        <v>340</v>
      </c>
      <c r="R78" s="47" t="s">
        <v>14</v>
      </c>
    </row>
    <row r="79" spans="12:18" x14ac:dyDescent="0.25">
      <c r="L79" s="48" t="s">
        <v>330</v>
      </c>
      <c r="M79" s="51">
        <v>8</v>
      </c>
      <c r="N79" s="47" t="s">
        <v>37</v>
      </c>
      <c r="O79" s="51">
        <v>64</v>
      </c>
      <c r="P79" s="65" t="s">
        <v>420</v>
      </c>
      <c r="Q79" s="52">
        <v>340</v>
      </c>
      <c r="R79" s="47" t="s">
        <v>14</v>
      </c>
    </row>
    <row r="80" spans="12:18" x14ac:dyDescent="0.25">
      <c r="L80" s="49" t="s">
        <v>331</v>
      </c>
      <c r="M80" s="52">
        <v>8</v>
      </c>
      <c r="N80" s="47" t="s">
        <v>37</v>
      </c>
      <c r="O80" s="51">
        <v>64</v>
      </c>
      <c r="P80" s="65" t="s">
        <v>420</v>
      </c>
      <c r="Q80" s="52">
        <v>340</v>
      </c>
      <c r="R80" s="47" t="s">
        <v>14</v>
      </c>
    </row>
    <row r="81" spans="12:18" x14ac:dyDescent="0.25">
      <c r="L81" s="48" t="s">
        <v>332</v>
      </c>
      <c r="M81" s="51">
        <v>24</v>
      </c>
      <c r="N81" s="47" t="s">
        <v>37</v>
      </c>
      <c r="O81" s="51">
        <v>196</v>
      </c>
      <c r="P81" s="65" t="s">
        <v>418</v>
      </c>
      <c r="Q81" s="51">
        <v>1100</v>
      </c>
      <c r="R81" s="47" t="s">
        <v>14</v>
      </c>
    </row>
    <row r="82" spans="12:18" x14ac:dyDescent="0.25">
      <c r="L82" s="49" t="s">
        <v>333</v>
      </c>
      <c r="M82" s="52">
        <v>24</v>
      </c>
      <c r="N82" s="47" t="s">
        <v>37</v>
      </c>
      <c r="O82" s="51">
        <v>196</v>
      </c>
      <c r="P82" s="65" t="s">
        <v>418</v>
      </c>
      <c r="Q82" s="51">
        <v>1100</v>
      </c>
      <c r="R82" s="47" t="s">
        <v>14</v>
      </c>
    </row>
    <row r="83" spans="12:18" x14ac:dyDescent="0.25">
      <c r="L83" s="48" t="s">
        <v>334</v>
      </c>
      <c r="M83" s="51">
        <v>12</v>
      </c>
      <c r="N83" s="47" t="s">
        <v>37</v>
      </c>
      <c r="O83" s="51">
        <v>64</v>
      </c>
      <c r="P83" s="65" t="s">
        <v>418</v>
      </c>
      <c r="Q83" s="51">
        <v>500</v>
      </c>
      <c r="R83" s="47" t="s">
        <v>14</v>
      </c>
    </row>
    <row r="84" spans="12:18" x14ac:dyDescent="0.25">
      <c r="L84" s="49" t="s">
        <v>335</v>
      </c>
      <c r="M84" s="52">
        <v>12</v>
      </c>
      <c r="N84" s="47" t="s">
        <v>37</v>
      </c>
      <c r="O84" s="51">
        <v>64</v>
      </c>
      <c r="P84" s="65" t="s">
        <v>418</v>
      </c>
      <c r="Q84" s="51">
        <v>500</v>
      </c>
      <c r="R84" s="47" t="s">
        <v>14</v>
      </c>
    </row>
    <row r="85" spans="12:18" x14ac:dyDescent="0.25">
      <c r="L85" s="48" t="s">
        <v>336</v>
      </c>
      <c r="M85" s="51">
        <v>8</v>
      </c>
      <c r="N85" s="47" t="s">
        <v>37</v>
      </c>
      <c r="O85" s="51">
        <v>64</v>
      </c>
      <c r="P85" s="65" t="s">
        <v>418</v>
      </c>
      <c r="Q85" s="51">
        <v>80</v>
      </c>
      <c r="R85" s="47" t="s">
        <v>14</v>
      </c>
    </row>
    <row r="86" spans="12:18" x14ac:dyDescent="0.25">
      <c r="L86" s="49" t="s">
        <v>337</v>
      </c>
      <c r="M86" s="52">
        <v>8</v>
      </c>
      <c r="N86" s="47" t="s">
        <v>37</v>
      </c>
      <c r="O86" s="51">
        <v>64</v>
      </c>
      <c r="P86" s="65" t="s">
        <v>418</v>
      </c>
      <c r="Q86" s="51">
        <v>80</v>
      </c>
      <c r="R86" s="47" t="s">
        <v>14</v>
      </c>
    </row>
    <row r="87" spans="12:18" x14ac:dyDescent="0.25">
      <c r="L87" s="48" t="s">
        <v>338</v>
      </c>
      <c r="M87" s="51">
        <v>16</v>
      </c>
      <c r="N87" s="47" t="s">
        <v>37</v>
      </c>
      <c r="O87" s="51">
        <v>128</v>
      </c>
      <c r="P87" s="65" t="s">
        <v>418</v>
      </c>
      <c r="Q87" s="51">
        <v>1140</v>
      </c>
      <c r="R87" s="47" t="s">
        <v>14</v>
      </c>
    </row>
    <row r="88" spans="12:18" x14ac:dyDescent="0.25">
      <c r="L88" s="49" t="s">
        <v>339</v>
      </c>
      <c r="M88" s="52">
        <v>16</v>
      </c>
      <c r="N88" s="47" t="s">
        <v>37</v>
      </c>
      <c r="O88" s="51">
        <v>128</v>
      </c>
      <c r="P88" s="65" t="s">
        <v>418</v>
      </c>
      <c r="Q88" s="51">
        <v>1140</v>
      </c>
      <c r="R88" s="47" t="s">
        <v>14</v>
      </c>
    </row>
    <row r="89" spans="12:18" x14ac:dyDescent="0.25">
      <c r="L89" s="48" t="s">
        <v>340</v>
      </c>
      <c r="M89" s="51">
        <v>8</v>
      </c>
      <c r="N89" s="47" t="s">
        <v>37</v>
      </c>
      <c r="O89" s="51">
        <v>32</v>
      </c>
      <c r="P89" s="65" t="s">
        <v>416</v>
      </c>
      <c r="Q89" s="51">
        <v>340</v>
      </c>
      <c r="R89" s="47" t="s">
        <v>14</v>
      </c>
    </row>
    <row r="90" spans="12:18" x14ac:dyDescent="0.25">
      <c r="L90" s="49" t="s">
        <v>341</v>
      </c>
      <c r="M90" s="52">
        <v>8</v>
      </c>
      <c r="N90" s="47" t="s">
        <v>37</v>
      </c>
      <c r="O90" s="52">
        <v>32</v>
      </c>
      <c r="P90" s="65" t="s">
        <v>416</v>
      </c>
      <c r="Q90" s="51">
        <v>340</v>
      </c>
      <c r="R90" s="47" t="s">
        <v>14</v>
      </c>
    </row>
    <row r="91" spans="12:18" x14ac:dyDescent="0.25">
      <c r="L91" s="48" t="s">
        <v>342</v>
      </c>
      <c r="M91" s="51">
        <v>8</v>
      </c>
      <c r="N91" s="47" t="s">
        <v>37</v>
      </c>
      <c r="O91" s="51">
        <v>96</v>
      </c>
      <c r="P91" s="65" t="s">
        <v>420</v>
      </c>
      <c r="Q91" s="51">
        <v>370</v>
      </c>
      <c r="R91" s="47" t="s">
        <v>14</v>
      </c>
    </row>
    <row r="92" spans="12:18" x14ac:dyDescent="0.25">
      <c r="L92" s="49" t="s">
        <v>343</v>
      </c>
      <c r="M92" s="52">
        <v>8</v>
      </c>
      <c r="N92" s="47" t="s">
        <v>37</v>
      </c>
      <c r="O92" s="51">
        <v>96</v>
      </c>
      <c r="P92" s="65" t="s">
        <v>420</v>
      </c>
      <c r="Q92" s="51">
        <v>370</v>
      </c>
      <c r="R92" s="47" t="s">
        <v>14</v>
      </c>
    </row>
    <row r="93" spans="12:18" x14ac:dyDescent="0.25">
      <c r="L93" s="48" t="s">
        <v>344</v>
      </c>
      <c r="M93" s="51">
        <v>8</v>
      </c>
      <c r="N93" s="47" t="s">
        <v>37</v>
      </c>
      <c r="O93" s="51">
        <v>64</v>
      </c>
      <c r="P93" s="65" t="s">
        <v>415</v>
      </c>
      <c r="Q93" s="51">
        <v>420</v>
      </c>
      <c r="R93" s="47" t="s">
        <v>14</v>
      </c>
    </row>
    <row r="94" spans="12:18" x14ac:dyDescent="0.25">
      <c r="L94" s="49" t="s">
        <v>345</v>
      </c>
      <c r="M94" s="52">
        <v>8</v>
      </c>
      <c r="N94" s="47" t="s">
        <v>37</v>
      </c>
      <c r="O94" s="51">
        <v>64</v>
      </c>
      <c r="P94" s="65" t="s">
        <v>415</v>
      </c>
      <c r="Q94" s="51">
        <v>420</v>
      </c>
      <c r="R94" s="47" t="s">
        <v>14</v>
      </c>
    </row>
    <row r="95" spans="12:18" x14ac:dyDescent="0.25">
      <c r="L95" s="48" t="s">
        <v>346</v>
      </c>
      <c r="M95" s="51">
        <v>64</v>
      </c>
      <c r="N95" s="47" t="s">
        <v>37</v>
      </c>
      <c r="O95" s="51">
        <v>80</v>
      </c>
      <c r="P95" s="65" t="s">
        <v>419</v>
      </c>
      <c r="Q95" s="51">
        <v>33350</v>
      </c>
      <c r="R95" s="47" t="s">
        <v>14</v>
      </c>
    </row>
    <row r="96" spans="12:18" x14ac:dyDescent="0.25">
      <c r="L96" s="49" t="s">
        <v>347</v>
      </c>
      <c r="M96" s="52">
        <v>64</v>
      </c>
      <c r="N96" s="47" t="s">
        <v>37</v>
      </c>
      <c r="O96" s="51">
        <v>80</v>
      </c>
      <c r="P96" s="65" t="s">
        <v>419</v>
      </c>
      <c r="Q96" s="52">
        <v>33370</v>
      </c>
      <c r="R96" s="47" t="s">
        <v>14</v>
      </c>
    </row>
    <row r="97" spans="12:18" x14ac:dyDescent="0.25">
      <c r="L97" s="48" t="s">
        <v>348</v>
      </c>
      <c r="M97" s="51">
        <v>8</v>
      </c>
      <c r="N97" s="47" t="s">
        <v>37</v>
      </c>
      <c r="O97" s="51">
        <v>32</v>
      </c>
      <c r="P97" s="66" t="s">
        <v>40</v>
      </c>
      <c r="Q97" s="51">
        <v>1120</v>
      </c>
      <c r="R97" s="47" t="s">
        <v>14</v>
      </c>
    </row>
    <row r="98" spans="12:18" x14ac:dyDescent="0.25">
      <c r="L98" s="49" t="s">
        <v>349</v>
      </c>
      <c r="M98" s="52">
        <v>8</v>
      </c>
      <c r="N98" s="47" t="s">
        <v>37</v>
      </c>
      <c r="O98" s="51">
        <v>32</v>
      </c>
      <c r="P98" s="66" t="s">
        <v>40</v>
      </c>
      <c r="Q98" s="51">
        <v>1120</v>
      </c>
      <c r="R98" s="47" t="s">
        <v>14</v>
      </c>
    </row>
    <row r="99" spans="12:18" x14ac:dyDescent="0.25">
      <c r="L99" s="48" t="s">
        <v>350</v>
      </c>
      <c r="M99" s="51">
        <v>8</v>
      </c>
      <c r="N99" s="47" t="s">
        <v>37</v>
      </c>
      <c r="O99" s="51">
        <v>32</v>
      </c>
      <c r="P99" s="66" t="s">
        <v>40</v>
      </c>
      <c r="Q99" s="51">
        <v>1120</v>
      </c>
      <c r="R99" s="47" t="s">
        <v>14</v>
      </c>
    </row>
    <row r="100" spans="12:18" x14ac:dyDescent="0.25">
      <c r="L100" s="49" t="s">
        <v>351</v>
      </c>
      <c r="M100" s="52">
        <v>16</v>
      </c>
      <c r="N100" s="47" t="s">
        <v>37</v>
      </c>
      <c r="O100" s="51">
        <v>32</v>
      </c>
      <c r="P100" s="47" t="s">
        <v>14</v>
      </c>
      <c r="Q100" s="52">
        <v>360</v>
      </c>
      <c r="R100" s="47" t="s">
        <v>14</v>
      </c>
    </row>
    <row r="101" spans="12:18" x14ac:dyDescent="0.25">
      <c r="L101" s="48" t="s">
        <v>352</v>
      </c>
      <c r="M101" s="51">
        <v>16</v>
      </c>
      <c r="N101" s="47" t="s">
        <v>37</v>
      </c>
      <c r="O101" s="51">
        <v>32</v>
      </c>
      <c r="P101" s="47" t="s">
        <v>14</v>
      </c>
      <c r="Q101" s="52">
        <v>360</v>
      </c>
      <c r="R101" s="47" t="s">
        <v>14</v>
      </c>
    </row>
    <row r="102" spans="12:18" x14ac:dyDescent="0.25">
      <c r="L102" s="49" t="s">
        <v>353</v>
      </c>
      <c r="M102" s="52">
        <v>4</v>
      </c>
      <c r="N102" s="47" t="s">
        <v>37</v>
      </c>
      <c r="O102" s="51">
        <v>32</v>
      </c>
      <c r="P102" s="47" t="s">
        <v>14</v>
      </c>
      <c r="Q102" s="52">
        <v>580</v>
      </c>
      <c r="R102" s="47" t="s">
        <v>14</v>
      </c>
    </row>
    <row r="103" spans="12:18" x14ac:dyDescent="0.25">
      <c r="L103" s="48" t="s">
        <v>354</v>
      </c>
      <c r="M103" s="51">
        <v>4</v>
      </c>
      <c r="N103" s="47" t="s">
        <v>37</v>
      </c>
      <c r="O103" s="51">
        <v>32</v>
      </c>
      <c r="P103" s="47" t="s">
        <v>14</v>
      </c>
      <c r="Q103" s="52">
        <v>580</v>
      </c>
      <c r="R103" s="47" t="s">
        <v>14</v>
      </c>
    </row>
    <row r="104" spans="12:18" x14ac:dyDescent="0.25">
      <c r="L104" s="49" t="s">
        <v>355</v>
      </c>
      <c r="M104" s="52">
        <v>16</v>
      </c>
      <c r="N104" s="47" t="s">
        <v>37</v>
      </c>
      <c r="O104" s="52">
        <v>48</v>
      </c>
      <c r="P104" s="65" t="s">
        <v>418</v>
      </c>
      <c r="Q104" s="52">
        <v>190</v>
      </c>
      <c r="R104" s="47" t="s">
        <v>14</v>
      </c>
    </row>
    <row r="105" spans="12:18" x14ac:dyDescent="0.25">
      <c r="L105" s="48" t="s">
        <v>356</v>
      </c>
      <c r="M105" s="51">
        <v>16</v>
      </c>
      <c r="N105" s="47" t="s">
        <v>37</v>
      </c>
      <c r="O105" s="52">
        <v>48</v>
      </c>
      <c r="P105" s="65" t="s">
        <v>418</v>
      </c>
      <c r="Q105" s="52">
        <v>190</v>
      </c>
      <c r="R105" s="47" t="s">
        <v>14</v>
      </c>
    </row>
    <row r="106" spans="12:18" x14ac:dyDescent="0.25">
      <c r="L106" s="49" t="s">
        <v>357</v>
      </c>
      <c r="M106" s="52">
        <v>16</v>
      </c>
      <c r="N106" s="47" t="s">
        <v>37</v>
      </c>
      <c r="O106" s="52">
        <v>48</v>
      </c>
      <c r="P106" s="65" t="s">
        <v>418</v>
      </c>
      <c r="Q106" s="52">
        <v>190</v>
      </c>
      <c r="R106" s="47" t="s">
        <v>14</v>
      </c>
    </row>
    <row r="107" spans="12:18" x14ac:dyDescent="0.25">
      <c r="L107" s="48" t="s">
        <v>358</v>
      </c>
      <c r="M107" s="51">
        <v>8</v>
      </c>
      <c r="N107" s="47" t="s">
        <v>37</v>
      </c>
      <c r="O107" s="51">
        <v>32</v>
      </c>
      <c r="P107" s="47" t="s">
        <v>14</v>
      </c>
      <c r="Q107" s="51">
        <v>320</v>
      </c>
      <c r="R107" s="47" t="s">
        <v>14</v>
      </c>
    </row>
    <row r="108" spans="12:18" x14ac:dyDescent="0.25">
      <c r="L108" s="49" t="s">
        <v>359</v>
      </c>
      <c r="M108" s="52">
        <v>8</v>
      </c>
      <c r="N108" s="47" t="s">
        <v>37</v>
      </c>
      <c r="O108" s="52">
        <v>32</v>
      </c>
      <c r="P108" s="47" t="s">
        <v>14</v>
      </c>
      <c r="Q108" s="51">
        <v>320</v>
      </c>
      <c r="R108" s="47" t="s">
        <v>14</v>
      </c>
    </row>
    <row r="109" spans="12:18" x14ac:dyDescent="0.25">
      <c r="L109" s="48" t="s">
        <v>360</v>
      </c>
      <c r="M109" s="51">
        <v>16</v>
      </c>
      <c r="N109" s="47" t="s">
        <v>37</v>
      </c>
      <c r="O109" s="51">
        <v>128</v>
      </c>
      <c r="P109" s="65" t="s">
        <v>421</v>
      </c>
      <c r="Q109" s="51">
        <v>340</v>
      </c>
      <c r="R109" s="47" t="s">
        <v>14</v>
      </c>
    </row>
    <row r="110" spans="12:18" x14ac:dyDescent="0.25">
      <c r="L110" s="49" t="s">
        <v>361</v>
      </c>
      <c r="M110" s="52">
        <v>16</v>
      </c>
      <c r="N110" s="47" t="s">
        <v>37</v>
      </c>
      <c r="O110" s="51">
        <v>128</v>
      </c>
      <c r="P110" s="65" t="s">
        <v>421</v>
      </c>
      <c r="Q110" s="51">
        <v>340</v>
      </c>
      <c r="R110" s="47" t="s">
        <v>14</v>
      </c>
    </row>
    <row r="111" spans="12:18" x14ac:dyDescent="0.25">
      <c r="L111" s="48" t="s">
        <v>362</v>
      </c>
      <c r="M111" s="51">
        <v>8</v>
      </c>
      <c r="N111" s="47" t="s">
        <v>37</v>
      </c>
      <c r="O111" s="51">
        <v>64</v>
      </c>
      <c r="P111" s="65" t="s">
        <v>422</v>
      </c>
      <c r="Q111" s="51">
        <v>340</v>
      </c>
      <c r="R111" s="47" t="s">
        <v>14</v>
      </c>
    </row>
    <row r="112" spans="12:18" x14ac:dyDescent="0.25">
      <c r="L112" s="49" t="s">
        <v>363</v>
      </c>
      <c r="M112" s="52">
        <v>8</v>
      </c>
      <c r="N112" s="47" t="s">
        <v>37</v>
      </c>
      <c r="O112" s="51">
        <v>64</v>
      </c>
      <c r="P112" s="65" t="s">
        <v>422</v>
      </c>
      <c r="Q112" s="51">
        <v>340</v>
      </c>
      <c r="R112" s="47" t="s">
        <v>14</v>
      </c>
    </row>
    <row r="113" spans="12:18" x14ac:dyDescent="0.25">
      <c r="L113" s="48" t="s">
        <v>364</v>
      </c>
      <c r="M113" s="51">
        <v>32</v>
      </c>
      <c r="N113" s="47" t="s">
        <v>37</v>
      </c>
      <c r="O113" s="51">
        <v>160</v>
      </c>
      <c r="P113" s="65" t="s">
        <v>423</v>
      </c>
      <c r="Q113" s="51">
        <v>340</v>
      </c>
      <c r="R113" s="47" t="s">
        <v>14</v>
      </c>
    </row>
    <row r="114" spans="12:18" x14ac:dyDescent="0.25">
      <c r="L114" s="49" t="s">
        <v>365</v>
      </c>
      <c r="M114" s="52">
        <v>32</v>
      </c>
      <c r="N114" s="47" t="s">
        <v>37</v>
      </c>
      <c r="O114" s="51">
        <v>160</v>
      </c>
      <c r="P114" s="65" t="s">
        <v>423</v>
      </c>
      <c r="Q114" s="51">
        <v>340</v>
      </c>
      <c r="R114" s="47" t="s">
        <v>14</v>
      </c>
    </row>
    <row r="115" spans="12:18" x14ac:dyDescent="0.25">
      <c r="L115" s="48" t="s">
        <v>366</v>
      </c>
      <c r="M115" s="51">
        <v>24</v>
      </c>
      <c r="N115" s="47" t="s">
        <v>37</v>
      </c>
      <c r="O115" s="51">
        <v>32</v>
      </c>
      <c r="P115" s="47" t="s">
        <v>14</v>
      </c>
      <c r="Q115" s="51">
        <v>260</v>
      </c>
      <c r="R115" s="47" t="s">
        <v>14</v>
      </c>
    </row>
    <row r="116" spans="12:18" x14ac:dyDescent="0.25">
      <c r="L116" s="49" t="s">
        <v>367</v>
      </c>
      <c r="M116" s="52">
        <v>24</v>
      </c>
      <c r="N116" s="47" t="s">
        <v>37</v>
      </c>
      <c r="O116" s="51">
        <v>32</v>
      </c>
      <c r="P116" s="47" t="s">
        <v>14</v>
      </c>
      <c r="Q116" s="51">
        <v>260</v>
      </c>
      <c r="R116" s="47" t="s">
        <v>14</v>
      </c>
    </row>
    <row r="117" spans="12:18" x14ac:dyDescent="0.25">
      <c r="L117" s="48" t="s">
        <v>368</v>
      </c>
      <c r="M117" s="51">
        <v>24</v>
      </c>
      <c r="N117" s="47" t="s">
        <v>37</v>
      </c>
      <c r="O117" s="51">
        <v>32</v>
      </c>
      <c r="P117" s="47" t="s">
        <v>14</v>
      </c>
      <c r="Q117" s="51">
        <v>260</v>
      </c>
      <c r="R117" s="47" t="s">
        <v>14</v>
      </c>
    </row>
    <row r="118" spans="12:18" x14ac:dyDescent="0.25">
      <c r="L118" s="49" t="s">
        <v>369</v>
      </c>
      <c r="M118" s="52">
        <v>16</v>
      </c>
      <c r="N118" s="47" t="s">
        <v>37</v>
      </c>
      <c r="O118" s="51">
        <v>32</v>
      </c>
      <c r="P118" s="47" t="s">
        <v>14</v>
      </c>
      <c r="Q118" s="52">
        <v>80</v>
      </c>
      <c r="R118" s="47" t="s">
        <v>14</v>
      </c>
    </row>
    <row r="119" spans="12:18" x14ac:dyDescent="0.25">
      <c r="L119" s="48" t="s">
        <v>370</v>
      </c>
      <c r="M119" s="51">
        <v>16</v>
      </c>
      <c r="N119" s="47" t="s">
        <v>37</v>
      </c>
      <c r="O119" s="51">
        <v>64</v>
      </c>
      <c r="P119" s="65" t="s">
        <v>16</v>
      </c>
      <c r="Q119" s="52">
        <v>80</v>
      </c>
      <c r="R119" s="47" t="s">
        <v>14</v>
      </c>
    </row>
    <row r="120" spans="12:18" x14ac:dyDescent="0.25">
      <c r="L120" s="49" t="s">
        <v>371</v>
      </c>
      <c r="M120" s="52">
        <v>24</v>
      </c>
      <c r="N120" s="47" t="s">
        <v>37</v>
      </c>
      <c r="O120" s="51">
        <v>64</v>
      </c>
      <c r="P120" s="65" t="s">
        <v>16</v>
      </c>
      <c r="Q120" s="52">
        <v>80</v>
      </c>
      <c r="R120" s="47" t="s">
        <v>14</v>
      </c>
    </row>
    <row r="121" spans="12:18" x14ac:dyDescent="0.25">
      <c r="L121" s="48" t="s">
        <v>372</v>
      </c>
      <c r="M121" s="51">
        <v>24</v>
      </c>
      <c r="N121" s="47" t="s">
        <v>37</v>
      </c>
      <c r="O121" s="51">
        <v>64</v>
      </c>
      <c r="P121" s="65" t="s">
        <v>16</v>
      </c>
      <c r="Q121" s="51">
        <v>130</v>
      </c>
      <c r="R121" s="47" t="s">
        <v>14</v>
      </c>
    </row>
    <row r="122" spans="12:18" x14ac:dyDescent="0.25">
      <c r="L122" s="49" t="s">
        <v>373</v>
      </c>
      <c r="M122" s="52">
        <v>24</v>
      </c>
      <c r="N122" s="47" t="s">
        <v>37</v>
      </c>
      <c r="O122" s="51">
        <v>64</v>
      </c>
      <c r="P122" s="65" t="s">
        <v>16</v>
      </c>
      <c r="Q122" s="52">
        <v>80</v>
      </c>
      <c r="R122" s="47" t="s">
        <v>14</v>
      </c>
    </row>
    <row r="123" spans="12:18" x14ac:dyDescent="0.25">
      <c r="L123" s="48" t="s">
        <v>374</v>
      </c>
      <c r="M123" s="51">
        <v>8</v>
      </c>
      <c r="N123" s="47" t="s">
        <v>37</v>
      </c>
      <c r="O123" s="51">
        <v>16</v>
      </c>
      <c r="P123" s="47" t="s">
        <v>14</v>
      </c>
      <c r="Q123" s="52">
        <v>80</v>
      </c>
      <c r="R123" s="47" t="s">
        <v>14</v>
      </c>
    </row>
    <row r="124" spans="12:18" x14ac:dyDescent="0.25">
      <c r="L124" s="49" t="s">
        <v>375</v>
      </c>
      <c r="M124" s="52">
        <v>8</v>
      </c>
      <c r="N124" s="47" t="s">
        <v>37</v>
      </c>
      <c r="O124" s="51">
        <v>16</v>
      </c>
      <c r="P124" s="47" t="s">
        <v>14</v>
      </c>
      <c r="Q124" s="52">
        <v>80</v>
      </c>
      <c r="R124" s="47" t="s">
        <v>14</v>
      </c>
    </row>
    <row r="125" spans="12:18" x14ac:dyDescent="0.25">
      <c r="L125" s="48" t="s">
        <v>376</v>
      </c>
      <c r="M125" s="51">
        <v>8</v>
      </c>
      <c r="N125" s="47" t="s">
        <v>37</v>
      </c>
      <c r="O125" s="51">
        <v>16</v>
      </c>
      <c r="P125" s="47" t="s">
        <v>14</v>
      </c>
      <c r="Q125" s="52">
        <v>80</v>
      </c>
      <c r="R125" s="47" t="s">
        <v>14</v>
      </c>
    </row>
    <row r="126" spans="12:18" x14ac:dyDescent="0.25">
      <c r="L126" s="49" t="s">
        <v>377</v>
      </c>
      <c r="M126" s="52">
        <v>8</v>
      </c>
      <c r="N126" s="47" t="s">
        <v>37</v>
      </c>
      <c r="O126" s="51">
        <v>16</v>
      </c>
      <c r="P126" s="47" t="s">
        <v>14</v>
      </c>
      <c r="Q126" s="52">
        <v>80</v>
      </c>
      <c r="R126" s="47" t="s">
        <v>14</v>
      </c>
    </row>
    <row r="127" spans="12:18" x14ac:dyDescent="0.25">
      <c r="L127" s="48" t="s">
        <v>59</v>
      </c>
      <c r="M127" s="51">
        <v>8</v>
      </c>
      <c r="N127" s="47" t="s">
        <v>37</v>
      </c>
      <c r="O127" s="51">
        <v>16</v>
      </c>
      <c r="P127" s="47" t="s">
        <v>14</v>
      </c>
      <c r="Q127" s="51">
        <v>1080</v>
      </c>
      <c r="R127" s="47" t="s">
        <v>14</v>
      </c>
    </row>
    <row r="128" spans="12:18" x14ac:dyDescent="0.25">
      <c r="L128" s="49" t="s">
        <v>378</v>
      </c>
      <c r="M128" s="52">
        <v>8</v>
      </c>
      <c r="N128" s="47" t="s">
        <v>37</v>
      </c>
      <c r="O128" s="51">
        <v>16</v>
      </c>
      <c r="P128" s="47" t="s">
        <v>14</v>
      </c>
      <c r="Q128" s="52">
        <v>80</v>
      </c>
      <c r="R128" s="47" t="s">
        <v>14</v>
      </c>
    </row>
    <row r="129" spans="12:18" x14ac:dyDescent="0.25">
      <c r="L129" s="48" t="s">
        <v>379</v>
      </c>
      <c r="M129" s="51">
        <v>8</v>
      </c>
      <c r="N129" s="47" t="s">
        <v>37</v>
      </c>
      <c r="O129" s="51">
        <v>16</v>
      </c>
      <c r="P129" s="47" t="s">
        <v>14</v>
      </c>
      <c r="Q129" s="52">
        <v>80</v>
      </c>
      <c r="R129" s="47" t="s">
        <v>14</v>
      </c>
    </row>
    <row r="130" spans="12:18" x14ac:dyDescent="0.25">
      <c r="L130" s="49" t="s">
        <v>48</v>
      </c>
      <c r="M130" s="52">
        <v>8</v>
      </c>
      <c r="N130" s="47" t="s">
        <v>37</v>
      </c>
      <c r="O130" s="51">
        <v>16</v>
      </c>
      <c r="P130" s="47" t="s">
        <v>14</v>
      </c>
      <c r="Q130" s="52">
        <v>100</v>
      </c>
      <c r="R130" s="47" t="s">
        <v>14</v>
      </c>
    </row>
    <row r="131" spans="12:18" x14ac:dyDescent="0.25">
      <c r="L131" s="48" t="s">
        <v>49</v>
      </c>
      <c r="M131" s="51">
        <v>8</v>
      </c>
      <c r="N131" s="47" t="s">
        <v>37</v>
      </c>
      <c r="O131" s="51">
        <v>16</v>
      </c>
      <c r="P131" s="47" t="s">
        <v>14</v>
      </c>
      <c r="Q131" s="52">
        <v>100</v>
      </c>
      <c r="R131" s="47" t="s">
        <v>14</v>
      </c>
    </row>
    <row r="132" spans="12:18" x14ac:dyDescent="0.25">
      <c r="L132" s="49" t="s">
        <v>50</v>
      </c>
      <c r="M132" s="52">
        <v>8</v>
      </c>
      <c r="N132" s="47" t="s">
        <v>37</v>
      </c>
      <c r="O132" s="51">
        <v>16</v>
      </c>
      <c r="P132" s="47" t="s">
        <v>14</v>
      </c>
      <c r="Q132" s="52">
        <v>80</v>
      </c>
      <c r="R132" s="47" t="s">
        <v>14</v>
      </c>
    </row>
    <row r="133" spans="12:18" x14ac:dyDescent="0.25">
      <c r="L133" s="48" t="s">
        <v>51</v>
      </c>
      <c r="M133" s="51">
        <v>8</v>
      </c>
      <c r="N133" s="47" t="s">
        <v>37</v>
      </c>
      <c r="O133" s="51">
        <v>16</v>
      </c>
      <c r="P133" s="47" t="s">
        <v>14</v>
      </c>
      <c r="Q133" s="52">
        <v>80</v>
      </c>
      <c r="R133" s="47" t="s">
        <v>14</v>
      </c>
    </row>
    <row r="134" spans="12:18" x14ac:dyDescent="0.25">
      <c r="L134" s="49" t="s">
        <v>52</v>
      </c>
      <c r="M134" s="52">
        <v>8</v>
      </c>
      <c r="N134" s="47" t="s">
        <v>37</v>
      </c>
      <c r="O134" s="52">
        <v>32</v>
      </c>
      <c r="P134" s="47" t="s">
        <v>14</v>
      </c>
      <c r="Q134" s="52">
        <v>80</v>
      </c>
      <c r="R134" s="47" t="s">
        <v>14</v>
      </c>
    </row>
    <row r="135" spans="12:18" x14ac:dyDescent="0.25">
      <c r="L135" s="48" t="s">
        <v>53</v>
      </c>
      <c r="M135" s="51">
        <v>8</v>
      </c>
      <c r="N135" s="47" t="s">
        <v>37</v>
      </c>
      <c r="O135" s="52">
        <v>32</v>
      </c>
      <c r="P135" s="47" t="s">
        <v>14</v>
      </c>
      <c r="Q135" s="52">
        <v>80</v>
      </c>
      <c r="R135" s="47" t="s">
        <v>14</v>
      </c>
    </row>
    <row r="136" spans="12:18" x14ac:dyDescent="0.25">
      <c r="L136" s="49" t="s">
        <v>54</v>
      </c>
      <c r="M136" s="52">
        <v>8</v>
      </c>
      <c r="N136" s="47" t="s">
        <v>37</v>
      </c>
      <c r="O136" s="52">
        <v>32</v>
      </c>
      <c r="P136" s="47" t="s">
        <v>14</v>
      </c>
      <c r="Q136" s="52">
        <v>80</v>
      </c>
      <c r="R136" s="47" t="s">
        <v>14</v>
      </c>
    </row>
    <row r="137" spans="12:18" x14ac:dyDescent="0.25">
      <c r="L137" s="48" t="s">
        <v>380</v>
      </c>
      <c r="M137" s="51">
        <v>8</v>
      </c>
      <c r="N137" s="47" t="s">
        <v>37</v>
      </c>
      <c r="O137" s="51">
        <v>16</v>
      </c>
      <c r="P137" s="47" t="s">
        <v>14</v>
      </c>
      <c r="Q137" s="51">
        <v>720</v>
      </c>
      <c r="R137" s="47" t="s">
        <v>14</v>
      </c>
    </row>
    <row r="138" spans="12:18" x14ac:dyDescent="0.25">
      <c r="L138" s="49" t="s">
        <v>381</v>
      </c>
      <c r="M138" s="52">
        <v>8</v>
      </c>
      <c r="N138" s="47" t="s">
        <v>37</v>
      </c>
      <c r="O138" s="51">
        <v>16</v>
      </c>
      <c r="P138" s="47" t="s">
        <v>14</v>
      </c>
      <c r="Q138" s="52">
        <v>600</v>
      </c>
      <c r="R138" s="47" t="s">
        <v>14</v>
      </c>
    </row>
    <row r="139" spans="12:18" x14ac:dyDescent="0.25">
      <c r="L139" s="48" t="s">
        <v>382</v>
      </c>
      <c r="M139" s="51">
        <v>32</v>
      </c>
      <c r="N139" s="47" t="s">
        <v>37</v>
      </c>
      <c r="O139" s="51">
        <v>128</v>
      </c>
      <c r="P139" s="65" t="s">
        <v>16</v>
      </c>
      <c r="Q139" s="51">
        <v>3030</v>
      </c>
      <c r="R139" s="47" t="s">
        <v>14</v>
      </c>
    </row>
    <row r="140" spans="12:18" x14ac:dyDescent="0.25">
      <c r="L140" s="49" t="s">
        <v>383</v>
      </c>
      <c r="M140" s="52">
        <v>32</v>
      </c>
      <c r="N140" s="47" t="s">
        <v>37</v>
      </c>
      <c r="O140" s="51">
        <v>128</v>
      </c>
      <c r="P140" s="65" t="s">
        <v>16</v>
      </c>
      <c r="Q140" s="52">
        <v>3060</v>
      </c>
      <c r="R140" s="47" t="s">
        <v>14</v>
      </c>
    </row>
    <row r="141" spans="12:18" x14ac:dyDescent="0.25">
      <c r="L141" s="48" t="s">
        <v>384</v>
      </c>
      <c r="M141" s="51">
        <v>16</v>
      </c>
      <c r="N141" s="47" t="s">
        <v>37</v>
      </c>
      <c r="O141" s="51">
        <v>16</v>
      </c>
      <c r="P141" s="47" t="s">
        <v>14</v>
      </c>
      <c r="Q141" s="51">
        <v>560</v>
      </c>
      <c r="R141" s="47" t="s">
        <v>14</v>
      </c>
    </row>
    <row r="142" spans="12:18" x14ac:dyDescent="0.25">
      <c r="L142" s="49" t="s">
        <v>385</v>
      </c>
      <c r="M142" s="52">
        <v>16</v>
      </c>
      <c r="N142" s="47" t="s">
        <v>37</v>
      </c>
      <c r="O142" s="51">
        <v>16</v>
      </c>
      <c r="P142" s="47" t="s">
        <v>14</v>
      </c>
      <c r="Q142" s="51">
        <v>560</v>
      </c>
      <c r="R142" s="47" t="s">
        <v>14</v>
      </c>
    </row>
    <row r="143" spans="12:18" x14ac:dyDescent="0.25">
      <c r="L143" s="48" t="s">
        <v>386</v>
      </c>
      <c r="M143" s="51">
        <v>16</v>
      </c>
      <c r="N143" s="47" t="s">
        <v>37</v>
      </c>
      <c r="O143" s="51">
        <v>32</v>
      </c>
      <c r="P143" s="47" t="s">
        <v>14</v>
      </c>
      <c r="Q143" s="51">
        <v>130</v>
      </c>
      <c r="R143" s="47" t="s">
        <v>14</v>
      </c>
    </row>
    <row r="144" spans="12:18" x14ac:dyDescent="0.25">
      <c r="L144" s="49" t="s">
        <v>387</v>
      </c>
      <c r="M144" s="52">
        <v>16</v>
      </c>
      <c r="N144" s="47" t="s">
        <v>37</v>
      </c>
      <c r="O144" s="52">
        <v>16</v>
      </c>
      <c r="P144" s="47" t="s">
        <v>14</v>
      </c>
      <c r="Q144" s="51">
        <v>130</v>
      </c>
      <c r="R144" s="47" t="s">
        <v>14</v>
      </c>
    </row>
    <row r="145" spans="12:23" x14ac:dyDescent="0.25">
      <c r="L145" s="48" t="s">
        <v>388</v>
      </c>
      <c r="M145" s="51">
        <v>16</v>
      </c>
      <c r="N145" s="47" t="s">
        <v>37</v>
      </c>
      <c r="O145" s="52">
        <v>16</v>
      </c>
      <c r="P145" s="47" t="s">
        <v>14</v>
      </c>
      <c r="Q145" s="51">
        <v>130</v>
      </c>
      <c r="R145" s="47" t="s">
        <v>14</v>
      </c>
    </row>
    <row r="146" spans="12:23" x14ac:dyDescent="0.25">
      <c r="L146" s="49" t="s">
        <v>389</v>
      </c>
      <c r="M146" s="52">
        <v>16</v>
      </c>
      <c r="N146" s="47" t="s">
        <v>37</v>
      </c>
      <c r="O146" s="52">
        <v>16</v>
      </c>
      <c r="P146" s="47" t="s">
        <v>14</v>
      </c>
      <c r="Q146" s="52">
        <v>390</v>
      </c>
      <c r="R146" s="47" t="s">
        <v>14</v>
      </c>
    </row>
    <row r="147" spans="12:23" x14ac:dyDescent="0.25">
      <c r="L147" s="48" t="s">
        <v>390</v>
      </c>
      <c r="M147" s="51">
        <v>4</v>
      </c>
      <c r="N147" s="47" t="s">
        <v>37</v>
      </c>
      <c r="O147" s="52">
        <v>16</v>
      </c>
      <c r="P147" s="47" t="s">
        <v>14</v>
      </c>
      <c r="Q147" s="51">
        <v>340</v>
      </c>
      <c r="R147" s="47" t="s">
        <v>14</v>
      </c>
    </row>
    <row r="148" spans="12:23" x14ac:dyDescent="0.25">
      <c r="L148" s="49" t="s">
        <v>265</v>
      </c>
      <c r="M148" s="52">
        <v>4</v>
      </c>
      <c r="N148" s="47" t="s">
        <v>37</v>
      </c>
      <c r="O148" s="52">
        <v>16</v>
      </c>
      <c r="P148" s="47" t="s">
        <v>14</v>
      </c>
      <c r="Q148" s="52">
        <v>80</v>
      </c>
      <c r="R148" s="47" t="s">
        <v>14</v>
      </c>
    </row>
    <row r="149" spans="12:23" ht="15.75" thickBot="1" x14ac:dyDescent="0.3">
      <c r="L149" s="45" t="s">
        <v>391</v>
      </c>
      <c r="M149" s="51">
        <v>24</v>
      </c>
      <c r="N149" s="47" t="s">
        <v>37</v>
      </c>
      <c r="O149" s="51">
        <v>64</v>
      </c>
      <c r="P149" s="65" t="s">
        <v>16</v>
      </c>
      <c r="Q149" s="51">
        <v>200</v>
      </c>
      <c r="R149" s="47" t="s">
        <v>14</v>
      </c>
      <c r="S149" s="41"/>
      <c r="U149" s="41"/>
      <c r="V149" s="41"/>
      <c r="W149" s="41"/>
    </row>
    <row r="150" spans="12:23" ht="15.75" thickBot="1" x14ac:dyDescent="0.3">
      <c r="L150" s="45" t="s">
        <v>392</v>
      </c>
      <c r="M150" s="52">
        <v>24</v>
      </c>
      <c r="N150" s="47" t="s">
        <v>37</v>
      </c>
      <c r="O150" s="51">
        <v>64</v>
      </c>
      <c r="P150" s="65" t="s">
        <v>16</v>
      </c>
      <c r="Q150" s="51">
        <v>200</v>
      </c>
      <c r="R150" s="47" t="s">
        <v>14</v>
      </c>
      <c r="S150" s="42"/>
      <c r="U150" s="42"/>
      <c r="V150" s="42"/>
      <c r="W150" s="42"/>
    </row>
    <row r="151" spans="12:23" ht="15.75" thickBot="1" x14ac:dyDescent="0.3">
      <c r="L151" s="45" t="s">
        <v>393</v>
      </c>
      <c r="M151" s="51">
        <v>16</v>
      </c>
      <c r="N151" s="47" t="s">
        <v>37</v>
      </c>
      <c r="O151" s="51">
        <v>32</v>
      </c>
      <c r="P151" s="47" t="s">
        <v>14</v>
      </c>
      <c r="Q151" s="51">
        <v>80</v>
      </c>
      <c r="R151" s="47" t="s">
        <v>14</v>
      </c>
      <c r="S151" s="43"/>
      <c r="U151" s="43"/>
      <c r="V151" s="43"/>
      <c r="W151" s="43"/>
    </row>
    <row r="152" spans="12:23" ht="15.75" thickBot="1" x14ac:dyDescent="0.3">
      <c r="L152" s="45" t="s">
        <v>394</v>
      </c>
      <c r="M152" s="52">
        <v>16</v>
      </c>
      <c r="N152" s="47" t="s">
        <v>37</v>
      </c>
      <c r="O152" s="51">
        <v>32</v>
      </c>
      <c r="P152" s="47" t="s">
        <v>14</v>
      </c>
      <c r="Q152" s="51">
        <v>80</v>
      </c>
      <c r="R152" s="47" t="s">
        <v>14</v>
      </c>
      <c r="S152" s="42"/>
      <c r="U152" s="42"/>
      <c r="V152" s="42"/>
      <c r="W152" s="42"/>
    </row>
    <row r="153" spans="12:23" ht="15.75" thickBot="1" x14ac:dyDescent="0.3">
      <c r="L153" s="45" t="s">
        <v>395</v>
      </c>
      <c r="M153" s="51">
        <v>16</v>
      </c>
      <c r="N153" s="47" t="s">
        <v>37</v>
      </c>
      <c r="O153" s="51">
        <v>32</v>
      </c>
      <c r="P153" s="47" t="s">
        <v>14</v>
      </c>
      <c r="Q153" s="51">
        <v>80</v>
      </c>
      <c r="R153" s="47" t="s">
        <v>14</v>
      </c>
      <c r="S153" s="43"/>
      <c r="U153" s="43"/>
      <c r="V153" s="43"/>
      <c r="W153" s="43"/>
    </row>
    <row r="154" spans="12:23" ht="15.75" thickBot="1" x14ac:dyDescent="0.3">
      <c r="L154" s="45" t="s">
        <v>396</v>
      </c>
      <c r="M154" s="52">
        <v>8</v>
      </c>
      <c r="N154" s="47" t="s">
        <v>37</v>
      </c>
      <c r="O154" s="52">
        <v>16</v>
      </c>
      <c r="P154" s="47" t="s">
        <v>14</v>
      </c>
      <c r="Q154" s="51">
        <v>80</v>
      </c>
      <c r="R154" s="47" t="s">
        <v>14</v>
      </c>
      <c r="S154" s="42"/>
      <c r="U154" s="42"/>
      <c r="V154" s="42"/>
      <c r="W154" s="42"/>
    </row>
    <row r="155" spans="12:23" ht="15.75" thickBot="1" x14ac:dyDescent="0.3">
      <c r="L155" s="45" t="s">
        <v>397</v>
      </c>
      <c r="M155" s="51">
        <v>16</v>
      </c>
      <c r="N155" s="47" t="s">
        <v>37</v>
      </c>
      <c r="O155" s="51">
        <v>32</v>
      </c>
      <c r="P155" s="47" t="s">
        <v>14</v>
      </c>
      <c r="Q155" s="51">
        <v>80</v>
      </c>
      <c r="R155" s="47" t="s">
        <v>14</v>
      </c>
      <c r="S155" s="43"/>
      <c r="U155" s="43"/>
      <c r="V155" s="43"/>
      <c r="W155" s="43"/>
    </row>
    <row r="156" spans="12:23" ht="15.75" thickBot="1" x14ac:dyDescent="0.3">
      <c r="L156" s="45" t="s">
        <v>398</v>
      </c>
      <c r="M156" s="52">
        <v>8</v>
      </c>
      <c r="N156" s="47" t="s">
        <v>37</v>
      </c>
      <c r="O156" s="52">
        <v>16</v>
      </c>
      <c r="P156" s="47" t="s">
        <v>14</v>
      </c>
      <c r="Q156" s="51">
        <v>80</v>
      </c>
      <c r="R156" s="47" t="s">
        <v>14</v>
      </c>
      <c r="S156" s="42"/>
      <c r="U156" s="42"/>
      <c r="V156" s="42"/>
      <c r="W156" s="42"/>
    </row>
    <row r="157" spans="12:23" ht="15.75" thickBot="1" x14ac:dyDescent="0.3">
      <c r="L157" s="45" t="s">
        <v>399</v>
      </c>
      <c r="M157" s="51">
        <v>16</v>
      </c>
      <c r="N157" s="47" t="s">
        <v>37</v>
      </c>
      <c r="O157" s="51">
        <v>48</v>
      </c>
      <c r="P157" s="65" t="s">
        <v>16</v>
      </c>
      <c r="Q157" s="51">
        <v>4030</v>
      </c>
      <c r="R157" s="47" t="s">
        <v>14</v>
      </c>
      <c r="S157" s="43"/>
      <c r="U157" s="43"/>
      <c r="V157" s="43"/>
      <c r="W157" s="43"/>
    </row>
    <row r="158" spans="12:23" ht="15.75" thickBot="1" x14ac:dyDescent="0.3">
      <c r="L158" s="45" t="s">
        <v>400</v>
      </c>
      <c r="M158" s="52">
        <v>16</v>
      </c>
      <c r="N158" s="47" t="s">
        <v>37</v>
      </c>
      <c r="O158" s="52">
        <v>48</v>
      </c>
      <c r="P158" s="65" t="s">
        <v>16</v>
      </c>
      <c r="Q158" s="51">
        <v>4030</v>
      </c>
      <c r="R158" s="47" t="s">
        <v>14</v>
      </c>
      <c r="S158" s="42"/>
      <c r="U158" s="42"/>
      <c r="V158" s="42"/>
      <c r="W158" s="42"/>
    </row>
    <row r="159" spans="12:23" ht="15.75" thickBot="1" x14ac:dyDescent="0.3">
      <c r="L159" s="45" t="s">
        <v>401</v>
      </c>
      <c r="M159" s="51">
        <v>16</v>
      </c>
      <c r="N159" s="47" t="s">
        <v>37</v>
      </c>
      <c r="O159" s="51">
        <v>32</v>
      </c>
      <c r="P159" s="47" t="s">
        <v>14</v>
      </c>
      <c r="Q159" s="51">
        <v>80</v>
      </c>
      <c r="R159" s="47" t="s">
        <v>14</v>
      </c>
      <c r="S159" s="43"/>
      <c r="U159" s="43"/>
      <c r="V159" s="43"/>
      <c r="W159" s="43"/>
    </row>
    <row r="160" spans="12:23" ht="15.75" thickBot="1" x14ac:dyDescent="0.3">
      <c r="L160" s="45" t="s">
        <v>402</v>
      </c>
      <c r="M160" s="51">
        <v>16</v>
      </c>
      <c r="N160" s="47" t="s">
        <v>37</v>
      </c>
      <c r="O160" s="51">
        <v>32</v>
      </c>
      <c r="P160" s="47" t="s">
        <v>14</v>
      </c>
      <c r="Q160" s="51">
        <v>330</v>
      </c>
      <c r="R160" s="47" t="s">
        <v>14</v>
      </c>
      <c r="S160" s="44"/>
      <c r="U160" s="44"/>
      <c r="V160" s="44"/>
      <c r="W160" s="44"/>
    </row>
    <row r="161" spans="12:23" ht="15.75" thickBot="1" x14ac:dyDescent="0.3">
      <c r="L161" s="45" t="s">
        <v>403</v>
      </c>
      <c r="M161" s="52">
        <v>16</v>
      </c>
      <c r="N161" s="47" t="s">
        <v>37</v>
      </c>
      <c r="O161" s="51">
        <v>32</v>
      </c>
      <c r="P161" s="47" t="s">
        <v>14</v>
      </c>
      <c r="Q161" s="52">
        <v>3630</v>
      </c>
      <c r="R161" s="47" t="s">
        <v>14</v>
      </c>
      <c r="S161" s="42"/>
      <c r="U161" s="42"/>
      <c r="V161" s="42"/>
      <c r="W161" s="42"/>
    </row>
    <row r="162" spans="12:23" ht="15.75" thickBot="1" x14ac:dyDescent="0.3">
      <c r="L162" s="45" t="s">
        <v>404</v>
      </c>
      <c r="M162" s="51">
        <v>16</v>
      </c>
      <c r="N162" s="47" t="s">
        <v>37</v>
      </c>
      <c r="O162" s="51">
        <v>16</v>
      </c>
      <c r="P162" s="47" t="s">
        <v>14</v>
      </c>
      <c r="Q162" s="51">
        <v>300</v>
      </c>
      <c r="R162" s="47" t="s">
        <v>14</v>
      </c>
      <c r="S162" s="43"/>
      <c r="U162" s="43"/>
      <c r="V162" s="43"/>
      <c r="W162" s="43"/>
    </row>
    <row r="163" spans="12:23" ht="15.75" thickBot="1" x14ac:dyDescent="0.3">
      <c r="L163" s="45" t="s">
        <v>405</v>
      </c>
      <c r="M163" s="52">
        <v>16</v>
      </c>
      <c r="N163" s="47" t="s">
        <v>37</v>
      </c>
      <c r="O163" s="51">
        <v>16</v>
      </c>
      <c r="P163" s="47" t="s">
        <v>14</v>
      </c>
      <c r="Q163" s="51">
        <v>300</v>
      </c>
      <c r="R163" s="47" t="s">
        <v>14</v>
      </c>
      <c r="S163" s="42"/>
      <c r="U163" s="42"/>
      <c r="V163" s="42"/>
      <c r="W163" s="42"/>
    </row>
    <row r="164" spans="12:23" ht="15.75" thickBot="1" x14ac:dyDescent="0.3">
      <c r="L164" s="45" t="s">
        <v>406</v>
      </c>
      <c r="M164" s="53">
        <v>12</v>
      </c>
      <c r="N164" s="47" t="s">
        <v>37</v>
      </c>
      <c r="O164" s="51">
        <v>16</v>
      </c>
      <c r="P164" s="47" t="s">
        <v>14</v>
      </c>
      <c r="Q164" s="53">
        <v>80</v>
      </c>
      <c r="R164" s="47" t="s">
        <v>14</v>
      </c>
      <c r="S164" s="43"/>
      <c r="U164" s="43"/>
      <c r="V164" s="43"/>
      <c r="W164" s="43"/>
    </row>
    <row r="165" spans="12:23" ht="15.75" thickBot="1" x14ac:dyDescent="0.3">
      <c r="L165" s="45" t="s">
        <v>407</v>
      </c>
      <c r="M165" s="52">
        <v>16</v>
      </c>
      <c r="N165" s="47" t="s">
        <v>37</v>
      </c>
      <c r="O165" s="52">
        <v>32</v>
      </c>
      <c r="P165" s="47" t="s">
        <v>14</v>
      </c>
      <c r="Q165" s="52">
        <v>200</v>
      </c>
      <c r="R165" s="47" t="s">
        <v>14</v>
      </c>
      <c r="S165" s="42"/>
      <c r="U165" s="42"/>
      <c r="V165" s="42"/>
      <c r="W165" s="42"/>
    </row>
    <row r="166" spans="12:23" ht="15.75" thickBot="1" x14ac:dyDescent="0.3">
      <c r="L166" s="45" t="s">
        <v>408</v>
      </c>
      <c r="M166" s="51">
        <v>8</v>
      </c>
      <c r="N166" s="47" t="s">
        <v>37</v>
      </c>
      <c r="O166" s="51">
        <v>16</v>
      </c>
      <c r="P166" s="47" t="s">
        <v>14</v>
      </c>
      <c r="Q166" s="51">
        <v>80</v>
      </c>
      <c r="R166" s="47" t="s">
        <v>14</v>
      </c>
      <c r="S166" s="41"/>
      <c r="T166" s="41"/>
      <c r="U166" s="41"/>
      <c r="V166" s="41"/>
      <c r="W166" s="40"/>
    </row>
    <row r="167" spans="12:23" ht="15.75" thickBot="1" x14ac:dyDescent="0.3">
      <c r="L167" s="45" t="s">
        <v>409</v>
      </c>
      <c r="M167" s="52">
        <v>16</v>
      </c>
      <c r="N167" s="47" t="s">
        <v>37</v>
      </c>
      <c r="O167" s="52">
        <v>32</v>
      </c>
      <c r="P167" s="47" t="s">
        <v>14</v>
      </c>
      <c r="Q167" s="52">
        <v>280</v>
      </c>
      <c r="R167" s="47" t="s">
        <v>14</v>
      </c>
      <c r="S167" s="42"/>
      <c r="T167" s="42"/>
      <c r="U167" s="42"/>
      <c r="V167" s="42"/>
      <c r="W167" s="42"/>
    </row>
    <row r="168" spans="12:23" ht="15.75" thickBot="1" x14ac:dyDescent="0.3">
      <c r="L168" s="45" t="s">
        <v>410</v>
      </c>
      <c r="M168" s="51">
        <v>16</v>
      </c>
      <c r="N168" s="47" t="s">
        <v>37</v>
      </c>
      <c r="O168" s="52">
        <v>32</v>
      </c>
      <c r="P168" s="47" t="s">
        <v>14</v>
      </c>
      <c r="Q168" s="52">
        <v>280</v>
      </c>
      <c r="R168" s="47" t="s">
        <v>14</v>
      </c>
      <c r="S168" s="43"/>
      <c r="T168" s="43"/>
      <c r="U168" s="43"/>
      <c r="V168" s="43"/>
      <c r="W168" s="43"/>
    </row>
    <row r="169" spans="12:23" ht="15.75" thickBot="1" x14ac:dyDescent="0.3">
      <c r="L169" s="45" t="s">
        <v>411</v>
      </c>
      <c r="M169" s="52">
        <v>16</v>
      </c>
      <c r="N169" s="47" t="s">
        <v>37</v>
      </c>
      <c r="O169" s="52">
        <v>32</v>
      </c>
      <c r="P169" s="47" t="s">
        <v>14</v>
      </c>
      <c r="Q169" s="52">
        <v>280</v>
      </c>
      <c r="R169" s="47" t="s">
        <v>14</v>
      </c>
      <c r="S169" s="42"/>
      <c r="T169" s="42"/>
      <c r="U169" s="42"/>
      <c r="V169" s="42"/>
      <c r="W169" s="42"/>
    </row>
    <row r="170" spans="12:23" ht="15.75" thickBot="1" x14ac:dyDescent="0.3">
      <c r="L170" s="45" t="s">
        <v>412</v>
      </c>
      <c r="M170" s="51">
        <v>16</v>
      </c>
      <c r="N170" s="47" t="s">
        <v>37</v>
      </c>
      <c r="O170" s="52">
        <v>32</v>
      </c>
      <c r="P170" s="47" t="s">
        <v>14</v>
      </c>
      <c r="Q170" s="52">
        <v>280</v>
      </c>
      <c r="R170" s="47" t="s">
        <v>14</v>
      </c>
      <c r="S170" s="44"/>
      <c r="T170" s="44"/>
      <c r="U170" s="44"/>
      <c r="V170" s="44"/>
      <c r="W170" s="44"/>
    </row>
    <row r="171" spans="12:23" x14ac:dyDescent="0.25">
      <c r="L171" s="49" t="s">
        <v>36</v>
      </c>
      <c r="M171" s="52">
        <v>4</v>
      </c>
      <c r="N171" s="47" t="s">
        <v>37</v>
      </c>
      <c r="O171" s="52">
        <v>8</v>
      </c>
      <c r="P171" s="47" t="s">
        <v>14</v>
      </c>
      <c r="Q171" s="52">
        <v>530</v>
      </c>
      <c r="R171" s="47" t="s">
        <v>14</v>
      </c>
    </row>
  </sheetData>
  <mergeCells count="1">
    <mergeCell ref="A2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9"/>
  <sheetViews>
    <sheetView topLeftCell="G1" workbookViewId="0">
      <selection activeCell="Q117" sqref="Q117:Q119"/>
    </sheetView>
  </sheetViews>
  <sheetFormatPr defaultRowHeight="15" x14ac:dyDescent="0.25"/>
  <cols>
    <col min="3" max="3" width="22.28515625" bestFit="1" customWidth="1"/>
    <col min="13" max="13" width="46.5703125" bestFit="1" customWidth="1"/>
    <col min="14" max="14" width="12.28515625" style="31" customWidth="1"/>
    <col min="15" max="15" width="14.5703125" style="31" customWidth="1"/>
    <col min="16" max="16" width="15.28515625" style="31" customWidth="1"/>
    <col min="17" max="17" width="14.42578125" style="31" customWidth="1"/>
    <col min="18" max="18" width="12" style="31" customWidth="1"/>
    <col min="19" max="19" width="10" style="31" customWidth="1"/>
  </cols>
  <sheetData>
    <row r="1" spans="1:19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M1" s="12" t="s">
        <v>30</v>
      </c>
      <c r="N1" s="13" t="s">
        <v>31</v>
      </c>
      <c r="O1" s="13" t="s">
        <v>32</v>
      </c>
      <c r="P1" s="13" t="s">
        <v>33</v>
      </c>
      <c r="Q1" s="13" t="s">
        <v>32</v>
      </c>
      <c r="R1" s="14" t="s">
        <v>34</v>
      </c>
      <c r="S1" s="13" t="s">
        <v>35</v>
      </c>
    </row>
    <row r="2" spans="1:19" ht="16.5" x14ac:dyDescent="0.25">
      <c r="A2" s="62">
        <v>1</v>
      </c>
      <c r="B2" s="3"/>
      <c r="C2" s="4" t="s">
        <v>7</v>
      </c>
      <c r="D2" s="3">
        <f>(96*11)+(128*4)</f>
        <v>1568</v>
      </c>
      <c r="E2" s="3">
        <f>(766*11)+(1023*4)</f>
        <v>12518</v>
      </c>
      <c r="F2" s="5">
        <v>200</v>
      </c>
      <c r="G2" s="5"/>
      <c r="M2" s="19" t="s">
        <v>64</v>
      </c>
      <c r="N2" s="25">
        <v>4</v>
      </c>
      <c r="O2" s="10" t="s">
        <v>37</v>
      </c>
      <c r="P2" s="25">
        <v>16</v>
      </c>
      <c r="Q2" s="10" t="s">
        <v>14</v>
      </c>
      <c r="R2" s="25">
        <v>16444</v>
      </c>
      <c r="S2" s="10" t="s">
        <v>14</v>
      </c>
    </row>
    <row r="3" spans="1:19" ht="16.5" x14ac:dyDescent="0.25">
      <c r="A3" s="63"/>
      <c r="B3" s="3"/>
      <c r="C3" s="3" t="s">
        <v>8</v>
      </c>
      <c r="D3" s="3">
        <f>(SUM(N2:N119))+(8*15)</f>
        <v>1680</v>
      </c>
      <c r="E3" s="3">
        <f>(SUM(P2:P119))+(16*15)</f>
        <v>5452</v>
      </c>
      <c r="F3" s="5">
        <v>171</v>
      </c>
      <c r="G3" s="5"/>
      <c r="M3" s="19" t="s">
        <v>65</v>
      </c>
      <c r="N3" s="57">
        <v>64</v>
      </c>
      <c r="O3" s="10" t="s">
        <v>37</v>
      </c>
      <c r="P3" s="25">
        <v>80</v>
      </c>
      <c r="Q3" s="30" t="s">
        <v>16</v>
      </c>
      <c r="R3" s="25">
        <v>16444</v>
      </c>
      <c r="S3" s="10" t="s">
        <v>14</v>
      </c>
    </row>
    <row r="4" spans="1:19" ht="16.5" x14ac:dyDescent="0.25">
      <c r="A4" s="64"/>
      <c r="B4" s="3"/>
      <c r="C4" s="6" t="s">
        <v>9</v>
      </c>
      <c r="D4" s="6">
        <f>D2-D3</f>
        <v>-112</v>
      </c>
      <c r="E4" s="6">
        <f>E2-E3</f>
        <v>7066</v>
      </c>
      <c r="F4" s="5">
        <f>F2-F3</f>
        <v>29</v>
      </c>
      <c r="G4" s="5"/>
      <c r="M4" s="19" t="s">
        <v>66</v>
      </c>
      <c r="N4" s="57">
        <v>64</v>
      </c>
      <c r="O4" s="10" t="s">
        <v>37</v>
      </c>
      <c r="P4" s="25">
        <v>80</v>
      </c>
      <c r="Q4" s="30" t="s">
        <v>16</v>
      </c>
      <c r="R4" s="25">
        <v>25660</v>
      </c>
      <c r="S4" s="10" t="s">
        <v>14</v>
      </c>
    </row>
    <row r="5" spans="1:19" ht="16.5" x14ac:dyDescent="0.25">
      <c r="M5" s="19" t="s">
        <v>67</v>
      </c>
      <c r="N5" s="57">
        <v>64</v>
      </c>
      <c r="O5" s="10" t="s">
        <v>37</v>
      </c>
      <c r="P5" s="25">
        <v>80</v>
      </c>
      <c r="Q5" s="30" t="s">
        <v>16</v>
      </c>
      <c r="R5" s="25">
        <v>27000</v>
      </c>
      <c r="S5" s="10" t="s">
        <v>14</v>
      </c>
    </row>
    <row r="6" spans="1:19" ht="16.5" x14ac:dyDescent="0.25">
      <c r="M6" s="19" t="s">
        <v>68</v>
      </c>
      <c r="N6" s="25">
        <v>4</v>
      </c>
      <c r="O6" s="10" t="s">
        <v>37</v>
      </c>
      <c r="P6" s="25">
        <v>16</v>
      </c>
      <c r="Q6" s="30" t="s">
        <v>16</v>
      </c>
      <c r="R6" s="25">
        <v>60</v>
      </c>
      <c r="S6" s="10" t="s">
        <v>14</v>
      </c>
    </row>
    <row r="7" spans="1:19" ht="31.5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10</v>
      </c>
      <c r="H7" s="1" t="s">
        <v>11</v>
      </c>
      <c r="M7" s="19" t="s">
        <v>69</v>
      </c>
      <c r="N7" s="25">
        <v>16</v>
      </c>
      <c r="O7" s="10" t="s">
        <v>37</v>
      </c>
      <c r="P7" s="25">
        <v>64</v>
      </c>
      <c r="Q7" s="30" t="s">
        <v>418</v>
      </c>
      <c r="R7" s="25">
        <v>1084</v>
      </c>
      <c r="S7" s="10" t="s">
        <v>14</v>
      </c>
    </row>
    <row r="8" spans="1:19" ht="16.5" x14ac:dyDescent="0.25">
      <c r="A8" s="11"/>
      <c r="B8" s="11"/>
      <c r="C8" s="18" t="s">
        <v>12</v>
      </c>
      <c r="D8" s="3" t="s">
        <v>16</v>
      </c>
      <c r="E8" s="10" t="s">
        <v>14</v>
      </c>
      <c r="F8" s="3"/>
      <c r="G8" s="3"/>
      <c r="H8" s="10" t="s">
        <v>14</v>
      </c>
      <c r="M8" s="19" t="s">
        <v>70</v>
      </c>
      <c r="N8" s="25">
        <v>16</v>
      </c>
      <c r="O8" s="10" t="s">
        <v>37</v>
      </c>
      <c r="P8" s="25">
        <v>64</v>
      </c>
      <c r="Q8" s="30" t="s">
        <v>418</v>
      </c>
      <c r="R8" s="25">
        <v>1084</v>
      </c>
      <c r="S8" s="10" t="s">
        <v>14</v>
      </c>
    </row>
    <row r="9" spans="1:19" ht="16.5" x14ac:dyDescent="0.25">
      <c r="A9" s="11"/>
      <c r="B9" s="11"/>
      <c r="C9" s="18" t="s">
        <v>15</v>
      </c>
      <c r="D9" s="3" t="s">
        <v>16</v>
      </c>
      <c r="E9" s="10" t="s">
        <v>14</v>
      </c>
      <c r="F9" s="3"/>
      <c r="G9" s="3"/>
      <c r="H9" s="10" t="s">
        <v>14</v>
      </c>
      <c r="M9" s="19" t="s">
        <v>71</v>
      </c>
      <c r="N9" s="25">
        <v>16</v>
      </c>
      <c r="O9" s="10" t="s">
        <v>37</v>
      </c>
      <c r="P9" s="25">
        <v>32</v>
      </c>
      <c r="Q9" s="30" t="s">
        <v>16</v>
      </c>
      <c r="R9" s="25">
        <v>260</v>
      </c>
      <c r="S9" s="10" t="s">
        <v>14</v>
      </c>
    </row>
    <row r="10" spans="1:19" ht="16.5" x14ac:dyDescent="0.25">
      <c r="A10" s="11"/>
      <c r="B10" s="11"/>
      <c r="C10" s="18" t="s">
        <v>17</v>
      </c>
      <c r="D10" s="3" t="s">
        <v>16</v>
      </c>
      <c r="E10" s="10" t="s">
        <v>14</v>
      </c>
      <c r="F10" s="3"/>
      <c r="G10" s="3"/>
      <c r="H10" s="10" t="s">
        <v>14</v>
      </c>
      <c r="M10" s="19" t="s">
        <v>72</v>
      </c>
      <c r="N10" s="25">
        <v>16</v>
      </c>
      <c r="O10" s="10" t="s">
        <v>37</v>
      </c>
      <c r="P10" s="25">
        <v>32</v>
      </c>
      <c r="Q10" s="30" t="s">
        <v>16</v>
      </c>
      <c r="R10" s="25">
        <v>260</v>
      </c>
      <c r="S10" s="10" t="s">
        <v>14</v>
      </c>
    </row>
    <row r="11" spans="1:19" ht="16.5" x14ac:dyDescent="0.25">
      <c r="A11" s="11"/>
      <c r="B11" s="11"/>
      <c r="C11" s="18" t="s">
        <v>18</v>
      </c>
      <c r="D11" s="3" t="s">
        <v>16</v>
      </c>
      <c r="E11" s="10" t="s">
        <v>14</v>
      </c>
      <c r="F11" s="3"/>
      <c r="G11" s="3"/>
      <c r="H11" s="10" t="s">
        <v>14</v>
      </c>
      <c r="M11" s="19" t="s">
        <v>73</v>
      </c>
      <c r="N11" s="25">
        <v>8</v>
      </c>
      <c r="O11" s="10" t="s">
        <v>37</v>
      </c>
      <c r="P11" s="25">
        <v>64</v>
      </c>
      <c r="Q11" s="30" t="s">
        <v>428</v>
      </c>
      <c r="R11" s="25">
        <v>316</v>
      </c>
      <c r="S11" s="10" t="s">
        <v>14</v>
      </c>
    </row>
    <row r="12" spans="1:19" ht="16.5" x14ac:dyDescent="0.25">
      <c r="A12" s="11"/>
      <c r="B12" s="11"/>
      <c r="C12" s="18" t="s">
        <v>19</v>
      </c>
      <c r="D12" s="3" t="s">
        <v>16</v>
      </c>
      <c r="E12" s="10" t="s">
        <v>14</v>
      </c>
      <c r="F12" s="3"/>
      <c r="G12" s="3"/>
      <c r="H12" s="10" t="s">
        <v>14</v>
      </c>
      <c r="M12" s="19" t="s">
        <v>74</v>
      </c>
      <c r="N12" s="25">
        <v>8</v>
      </c>
      <c r="O12" s="10" t="s">
        <v>37</v>
      </c>
      <c r="P12" s="25">
        <v>64</v>
      </c>
      <c r="Q12" s="30" t="s">
        <v>428</v>
      </c>
      <c r="R12" s="25">
        <v>316</v>
      </c>
      <c r="S12" s="10" t="s">
        <v>14</v>
      </c>
    </row>
    <row r="13" spans="1:19" ht="16.5" x14ac:dyDescent="0.25">
      <c r="A13" s="11"/>
      <c r="B13" s="11"/>
      <c r="C13" s="18" t="s">
        <v>20</v>
      </c>
      <c r="D13" s="3" t="s">
        <v>16</v>
      </c>
      <c r="E13" s="10" t="s">
        <v>14</v>
      </c>
      <c r="F13" s="3"/>
      <c r="G13" s="3"/>
      <c r="H13" s="10" t="s">
        <v>14</v>
      </c>
      <c r="M13" s="19" t="s">
        <v>75</v>
      </c>
      <c r="N13" s="25">
        <v>8</v>
      </c>
      <c r="O13" s="10" t="s">
        <v>37</v>
      </c>
      <c r="P13" s="25">
        <v>32</v>
      </c>
      <c r="Q13" s="30" t="s">
        <v>416</v>
      </c>
      <c r="R13" s="25">
        <v>1084</v>
      </c>
      <c r="S13" s="10" t="s">
        <v>14</v>
      </c>
    </row>
    <row r="14" spans="1:19" ht="16.5" x14ac:dyDescent="0.25">
      <c r="A14" s="11"/>
      <c r="B14" s="11"/>
      <c r="C14" s="18" t="s">
        <v>21</v>
      </c>
      <c r="D14" s="3" t="s">
        <v>16</v>
      </c>
      <c r="E14" s="10" t="s">
        <v>14</v>
      </c>
      <c r="F14" s="3"/>
      <c r="G14" s="3"/>
      <c r="H14" s="10" t="s">
        <v>14</v>
      </c>
      <c r="M14" s="19" t="s">
        <v>76</v>
      </c>
      <c r="N14" s="25">
        <v>8</v>
      </c>
      <c r="O14" s="10" t="s">
        <v>37</v>
      </c>
      <c r="P14" s="25">
        <v>32</v>
      </c>
      <c r="Q14" s="30" t="s">
        <v>416</v>
      </c>
      <c r="R14" s="25">
        <v>1084</v>
      </c>
      <c r="S14" s="10" t="s">
        <v>14</v>
      </c>
    </row>
    <row r="15" spans="1:19" ht="16.5" x14ac:dyDescent="0.25">
      <c r="A15" s="11"/>
      <c r="B15" s="11"/>
      <c r="C15" s="18" t="s">
        <v>22</v>
      </c>
      <c r="D15" s="3" t="s">
        <v>16</v>
      </c>
      <c r="E15" s="10" t="s">
        <v>14</v>
      </c>
      <c r="F15" s="3"/>
      <c r="G15" s="3"/>
      <c r="H15" s="10" t="s">
        <v>14</v>
      </c>
      <c r="M15" s="19" t="s">
        <v>77</v>
      </c>
      <c r="N15" s="25">
        <v>8</v>
      </c>
      <c r="O15" s="10" t="s">
        <v>37</v>
      </c>
      <c r="P15" s="25">
        <v>32</v>
      </c>
      <c r="Q15" s="30" t="s">
        <v>416</v>
      </c>
      <c r="R15" s="25">
        <v>1084</v>
      </c>
      <c r="S15" s="10" t="s">
        <v>14</v>
      </c>
    </row>
    <row r="16" spans="1:19" ht="16.5" x14ac:dyDescent="0.25">
      <c r="A16" s="11"/>
      <c r="B16" s="11"/>
      <c r="C16" s="18" t="s">
        <v>23</v>
      </c>
      <c r="D16" s="3" t="s">
        <v>16</v>
      </c>
      <c r="E16" s="10" t="s">
        <v>14</v>
      </c>
      <c r="F16" s="3"/>
      <c r="G16" s="3"/>
      <c r="H16" s="10" t="s">
        <v>14</v>
      </c>
      <c r="M16" s="19" t="s">
        <v>78</v>
      </c>
      <c r="N16" s="25">
        <v>4</v>
      </c>
      <c r="O16" s="10" t="s">
        <v>37</v>
      </c>
      <c r="P16" s="25">
        <v>16</v>
      </c>
      <c r="Q16" s="17" t="s">
        <v>40</v>
      </c>
      <c r="R16" s="25">
        <v>572</v>
      </c>
      <c r="S16" s="10" t="s">
        <v>14</v>
      </c>
    </row>
    <row r="17" spans="1:19" ht="16.5" x14ac:dyDescent="0.25">
      <c r="A17" s="11"/>
      <c r="B17" s="11"/>
      <c r="C17" s="18" t="s">
        <v>24</v>
      </c>
      <c r="D17" s="3" t="s">
        <v>16</v>
      </c>
      <c r="E17" s="10" t="s">
        <v>14</v>
      </c>
      <c r="F17" s="3"/>
      <c r="G17" s="3"/>
      <c r="H17" s="10" t="s">
        <v>14</v>
      </c>
      <c r="M17" s="19" t="s">
        <v>79</v>
      </c>
      <c r="N17" s="25">
        <v>4</v>
      </c>
      <c r="O17" s="10" t="s">
        <v>37</v>
      </c>
      <c r="P17" s="25">
        <v>16</v>
      </c>
      <c r="Q17" s="17" t="s">
        <v>40</v>
      </c>
      <c r="R17" s="25">
        <v>572</v>
      </c>
      <c r="S17" s="10" t="s">
        <v>14</v>
      </c>
    </row>
    <row r="18" spans="1:19" ht="16.5" x14ac:dyDescent="0.25">
      <c r="A18" s="11"/>
      <c r="B18" s="11"/>
      <c r="C18" s="18" t="s">
        <v>25</v>
      </c>
      <c r="D18" s="3" t="s">
        <v>16</v>
      </c>
      <c r="E18" s="10" t="s">
        <v>14</v>
      </c>
      <c r="F18" s="3"/>
      <c r="G18" s="3"/>
      <c r="H18" s="10" t="s">
        <v>14</v>
      </c>
      <c r="M18" s="19" t="s">
        <v>80</v>
      </c>
      <c r="N18" s="25">
        <v>4</v>
      </c>
      <c r="O18" s="10" t="s">
        <v>37</v>
      </c>
      <c r="P18" s="25">
        <v>16</v>
      </c>
      <c r="Q18" s="10" t="s">
        <v>14</v>
      </c>
      <c r="R18" s="25">
        <v>210</v>
      </c>
      <c r="S18" s="10" t="s">
        <v>14</v>
      </c>
    </row>
    <row r="19" spans="1:19" ht="16.5" x14ac:dyDescent="0.25">
      <c r="A19" s="11"/>
      <c r="B19" s="11"/>
      <c r="C19" s="18" t="s">
        <v>26</v>
      </c>
      <c r="D19" s="3" t="s">
        <v>16</v>
      </c>
      <c r="E19" s="10" t="s">
        <v>14</v>
      </c>
      <c r="F19" s="10"/>
      <c r="G19" s="10"/>
      <c r="H19" s="10" t="s">
        <v>14</v>
      </c>
      <c r="M19" s="19" t="s">
        <v>81</v>
      </c>
      <c r="N19" s="25">
        <v>4</v>
      </c>
      <c r="O19" s="10" t="s">
        <v>37</v>
      </c>
      <c r="P19" s="25">
        <v>16</v>
      </c>
      <c r="Q19" s="10" t="s">
        <v>14</v>
      </c>
      <c r="R19" s="25">
        <v>210</v>
      </c>
      <c r="S19" s="10" t="s">
        <v>14</v>
      </c>
    </row>
    <row r="20" spans="1:19" ht="16.5" x14ac:dyDescent="0.25">
      <c r="A20" s="11"/>
      <c r="B20" s="11"/>
      <c r="C20" s="18" t="s">
        <v>27</v>
      </c>
      <c r="D20" s="3" t="s">
        <v>16</v>
      </c>
      <c r="E20" s="10" t="s">
        <v>14</v>
      </c>
      <c r="F20" s="10"/>
      <c r="G20" s="10"/>
      <c r="H20" s="10" t="s">
        <v>14</v>
      </c>
      <c r="M20" s="19" t="s">
        <v>82</v>
      </c>
      <c r="N20" s="57">
        <v>16</v>
      </c>
      <c r="O20" s="10" t="s">
        <v>37</v>
      </c>
      <c r="P20" s="25">
        <v>96</v>
      </c>
      <c r="Q20" s="30" t="s">
        <v>417</v>
      </c>
      <c r="R20" s="25">
        <v>2048</v>
      </c>
      <c r="S20" s="10" t="s">
        <v>14</v>
      </c>
    </row>
    <row r="21" spans="1:19" ht="16.5" x14ac:dyDescent="0.25">
      <c r="A21" s="11"/>
      <c r="B21" s="11"/>
      <c r="C21" s="18" t="s">
        <v>28</v>
      </c>
      <c r="D21" s="3" t="s">
        <v>16</v>
      </c>
      <c r="E21" s="10" t="s">
        <v>14</v>
      </c>
      <c r="F21" s="10"/>
      <c r="G21" s="10"/>
      <c r="H21" s="10" t="s">
        <v>14</v>
      </c>
      <c r="M21" s="19" t="s">
        <v>83</v>
      </c>
      <c r="N21" s="25">
        <v>10</v>
      </c>
      <c r="O21" s="10" t="s">
        <v>37</v>
      </c>
      <c r="P21" s="25">
        <v>40</v>
      </c>
      <c r="Q21" s="30" t="s">
        <v>419</v>
      </c>
      <c r="R21" s="25">
        <v>366</v>
      </c>
      <c r="S21" s="10" t="s">
        <v>14</v>
      </c>
    </row>
    <row r="22" spans="1:19" ht="16.5" x14ac:dyDescent="0.25">
      <c r="A22" s="11"/>
      <c r="B22" s="11"/>
      <c r="C22" s="18" t="s">
        <v>63</v>
      </c>
      <c r="D22" s="3" t="s">
        <v>16</v>
      </c>
      <c r="E22" s="10" t="s">
        <v>14</v>
      </c>
      <c r="F22" s="10"/>
      <c r="G22" s="10"/>
      <c r="H22" s="10" t="s">
        <v>14</v>
      </c>
      <c r="M22" s="19" t="s">
        <v>84</v>
      </c>
      <c r="N22" s="25">
        <v>10</v>
      </c>
      <c r="O22" s="10" t="s">
        <v>37</v>
      </c>
      <c r="P22" s="25">
        <v>40</v>
      </c>
      <c r="Q22" s="30" t="s">
        <v>419</v>
      </c>
      <c r="R22" s="25">
        <v>366</v>
      </c>
      <c r="S22" s="10" t="s">
        <v>14</v>
      </c>
    </row>
    <row r="23" spans="1:19" ht="16.5" x14ac:dyDescent="0.25">
      <c r="M23" s="19" t="s">
        <v>85</v>
      </c>
      <c r="N23" s="25">
        <v>16</v>
      </c>
      <c r="O23" s="10" t="s">
        <v>37</v>
      </c>
      <c r="P23" s="25">
        <v>32</v>
      </c>
      <c r="Q23" s="30" t="s">
        <v>419</v>
      </c>
      <c r="R23" s="25">
        <v>100</v>
      </c>
      <c r="S23" s="10" t="s">
        <v>14</v>
      </c>
    </row>
    <row r="24" spans="1:19" ht="16.5" x14ac:dyDescent="0.25">
      <c r="M24" s="19" t="s">
        <v>86</v>
      </c>
      <c r="N24" s="26">
        <v>8</v>
      </c>
      <c r="O24" s="10" t="s">
        <v>37</v>
      </c>
      <c r="P24" s="26">
        <v>32</v>
      </c>
      <c r="Q24" s="30" t="s">
        <v>419</v>
      </c>
      <c r="R24" s="26">
        <v>120</v>
      </c>
      <c r="S24" s="10" t="s">
        <v>14</v>
      </c>
    </row>
    <row r="25" spans="1:19" ht="16.5" x14ac:dyDescent="0.25">
      <c r="M25" s="19" t="s">
        <v>87</v>
      </c>
      <c r="N25" s="26">
        <v>8</v>
      </c>
      <c r="O25" s="10" t="s">
        <v>37</v>
      </c>
      <c r="P25" s="26">
        <v>32</v>
      </c>
      <c r="Q25" s="30" t="s">
        <v>419</v>
      </c>
      <c r="R25" s="26">
        <v>120</v>
      </c>
      <c r="S25" s="10" t="s">
        <v>14</v>
      </c>
    </row>
    <row r="26" spans="1:19" ht="16.5" x14ac:dyDescent="0.25">
      <c r="M26" s="19" t="s">
        <v>88</v>
      </c>
      <c r="N26" s="25">
        <v>4</v>
      </c>
      <c r="O26" s="10" t="s">
        <v>37</v>
      </c>
      <c r="P26" s="25">
        <v>8</v>
      </c>
      <c r="Q26" s="10" t="s">
        <v>14</v>
      </c>
      <c r="R26" s="25">
        <v>50</v>
      </c>
      <c r="S26" s="10" t="s">
        <v>14</v>
      </c>
    </row>
    <row r="27" spans="1:19" ht="16.5" x14ac:dyDescent="0.25">
      <c r="M27" s="19" t="s">
        <v>89</v>
      </c>
      <c r="N27" s="25">
        <v>4</v>
      </c>
      <c r="O27" s="10" t="s">
        <v>37</v>
      </c>
      <c r="P27" s="25">
        <v>8</v>
      </c>
      <c r="Q27" s="10" t="s">
        <v>14</v>
      </c>
      <c r="R27" s="25">
        <v>50</v>
      </c>
      <c r="S27" s="10" t="s">
        <v>14</v>
      </c>
    </row>
    <row r="28" spans="1:19" ht="16.5" x14ac:dyDescent="0.25">
      <c r="M28" s="20" t="s">
        <v>90</v>
      </c>
      <c r="N28" s="25">
        <v>16</v>
      </c>
      <c r="O28" s="10" t="s">
        <v>37</v>
      </c>
      <c r="P28" s="25">
        <v>64</v>
      </c>
      <c r="Q28" s="30" t="s">
        <v>40</v>
      </c>
      <c r="R28" s="25">
        <v>336</v>
      </c>
      <c r="S28" s="10" t="s">
        <v>14</v>
      </c>
    </row>
    <row r="29" spans="1:19" ht="16.5" x14ac:dyDescent="0.25">
      <c r="M29" s="20" t="s">
        <v>91</v>
      </c>
      <c r="N29" s="25">
        <v>16</v>
      </c>
      <c r="O29" s="10" t="s">
        <v>37</v>
      </c>
      <c r="P29" s="25">
        <v>64</v>
      </c>
      <c r="Q29" s="30" t="s">
        <v>40</v>
      </c>
      <c r="R29" s="25">
        <v>336</v>
      </c>
      <c r="S29" s="10" t="s">
        <v>14</v>
      </c>
    </row>
    <row r="30" spans="1:19" ht="16.5" x14ac:dyDescent="0.25">
      <c r="M30" s="20" t="s">
        <v>92</v>
      </c>
      <c r="N30" s="25">
        <v>24</v>
      </c>
      <c r="O30" s="10" t="s">
        <v>37</v>
      </c>
      <c r="P30" s="25">
        <v>96</v>
      </c>
      <c r="Q30" s="30" t="s">
        <v>14</v>
      </c>
      <c r="R30" s="25">
        <v>336</v>
      </c>
      <c r="S30" s="10" t="s">
        <v>14</v>
      </c>
    </row>
    <row r="31" spans="1:19" ht="16.5" x14ac:dyDescent="0.25">
      <c r="M31" s="20" t="s">
        <v>93</v>
      </c>
      <c r="N31" s="25">
        <v>24</v>
      </c>
      <c r="O31" s="10" t="s">
        <v>37</v>
      </c>
      <c r="P31" s="25">
        <v>96</v>
      </c>
      <c r="Q31" s="30" t="s">
        <v>14</v>
      </c>
      <c r="R31" s="25">
        <v>336</v>
      </c>
      <c r="S31" s="10" t="s">
        <v>14</v>
      </c>
    </row>
    <row r="32" spans="1:19" ht="16.5" x14ac:dyDescent="0.25">
      <c r="M32" s="20" t="s">
        <v>94</v>
      </c>
      <c r="N32" s="25">
        <v>16</v>
      </c>
      <c r="O32" s="10" t="s">
        <v>37</v>
      </c>
      <c r="P32" s="25">
        <v>64</v>
      </c>
      <c r="Q32" s="30" t="s">
        <v>16</v>
      </c>
      <c r="R32" s="25">
        <v>336</v>
      </c>
      <c r="S32" s="10" t="s">
        <v>14</v>
      </c>
    </row>
    <row r="33" spans="13:19" ht="16.5" x14ac:dyDescent="0.25">
      <c r="M33" s="20" t="s">
        <v>95</v>
      </c>
      <c r="N33" s="25">
        <v>16</v>
      </c>
      <c r="O33" s="10" t="s">
        <v>37</v>
      </c>
      <c r="P33" s="25">
        <v>64</v>
      </c>
      <c r="Q33" s="30" t="s">
        <v>16</v>
      </c>
      <c r="R33" s="25">
        <v>336</v>
      </c>
      <c r="S33" s="10" t="s">
        <v>14</v>
      </c>
    </row>
    <row r="34" spans="13:19" ht="16.5" x14ac:dyDescent="0.25">
      <c r="M34" s="20" t="s">
        <v>96</v>
      </c>
      <c r="N34" s="25">
        <v>16</v>
      </c>
      <c r="O34" s="10" t="s">
        <v>37</v>
      </c>
      <c r="P34" s="25">
        <v>128</v>
      </c>
      <c r="Q34" s="30" t="s">
        <v>417</v>
      </c>
      <c r="R34" s="25">
        <v>556</v>
      </c>
      <c r="S34" s="10" t="s">
        <v>14</v>
      </c>
    </row>
    <row r="35" spans="13:19" ht="16.5" x14ac:dyDescent="0.25">
      <c r="M35" s="20" t="s">
        <v>97</v>
      </c>
      <c r="N35" s="25">
        <v>16</v>
      </c>
      <c r="O35" s="10" t="s">
        <v>37</v>
      </c>
      <c r="P35" s="25">
        <v>128</v>
      </c>
      <c r="Q35" s="30" t="s">
        <v>417</v>
      </c>
      <c r="R35" s="25">
        <v>556</v>
      </c>
      <c r="S35" s="10" t="s">
        <v>14</v>
      </c>
    </row>
    <row r="36" spans="13:19" ht="16.5" x14ac:dyDescent="0.25">
      <c r="M36" s="20" t="s">
        <v>98</v>
      </c>
      <c r="N36" s="25">
        <v>4</v>
      </c>
      <c r="O36" s="10" t="s">
        <v>37</v>
      </c>
      <c r="P36" s="25">
        <v>16</v>
      </c>
      <c r="Q36" s="10" t="s">
        <v>14</v>
      </c>
      <c r="R36" s="25">
        <v>560</v>
      </c>
      <c r="S36" s="10" t="s">
        <v>14</v>
      </c>
    </row>
    <row r="37" spans="13:19" ht="16.5" x14ac:dyDescent="0.25">
      <c r="M37" s="20" t="s">
        <v>99</v>
      </c>
      <c r="N37" s="26">
        <v>8</v>
      </c>
      <c r="O37" s="10" t="s">
        <v>37</v>
      </c>
      <c r="P37" s="26">
        <v>16</v>
      </c>
      <c r="Q37" s="10" t="s">
        <v>14</v>
      </c>
      <c r="R37" s="26">
        <v>100</v>
      </c>
      <c r="S37" s="10" t="s">
        <v>14</v>
      </c>
    </row>
    <row r="38" spans="13:19" ht="16.5" x14ac:dyDescent="0.25">
      <c r="M38" s="20" t="s">
        <v>100</v>
      </c>
      <c r="N38" s="26">
        <v>8</v>
      </c>
      <c r="O38" s="10" t="s">
        <v>37</v>
      </c>
      <c r="P38" s="26">
        <v>16</v>
      </c>
      <c r="Q38" s="10" t="s">
        <v>14</v>
      </c>
      <c r="R38" s="26">
        <v>100</v>
      </c>
      <c r="S38" s="10" t="s">
        <v>14</v>
      </c>
    </row>
    <row r="39" spans="13:19" ht="16.5" x14ac:dyDescent="0.25">
      <c r="M39" s="20" t="s">
        <v>101</v>
      </c>
      <c r="N39" s="25">
        <v>16</v>
      </c>
      <c r="O39" s="10" t="s">
        <v>37</v>
      </c>
      <c r="P39" s="25">
        <v>128</v>
      </c>
      <c r="Q39" s="30" t="s">
        <v>16</v>
      </c>
      <c r="R39" s="25">
        <v>360</v>
      </c>
      <c r="S39" s="10" t="s">
        <v>14</v>
      </c>
    </row>
    <row r="40" spans="13:19" ht="16.5" x14ac:dyDescent="0.25">
      <c r="M40" s="20" t="s">
        <v>102</v>
      </c>
      <c r="N40" s="25">
        <v>16</v>
      </c>
      <c r="O40" s="10" t="s">
        <v>37</v>
      </c>
      <c r="P40" s="25">
        <v>128</v>
      </c>
      <c r="Q40" s="30" t="s">
        <v>16</v>
      </c>
      <c r="R40" s="25">
        <v>360</v>
      </c>
      <c r="S40" s="10" t="s">
        <v>14</v>
      </c>
    </row>
    <row r="41" spans="13:19" ht="16.5" x14ac:dyDescent="0.25">
      <c r="M41" s="20" t="s">
        <v>103</v>
      </c>
      <c r="N41" s="25">
        <v>16</v>
      </c>
      <c r="O41" s="10" t="s">
        <v>37</v>
      </c>
      <c r="P41" s="25">
        <v>128</v>
      </c>
      <c r="Q41" s="30" t="s">
        <v>16</v>
      </c>
      <c r="R41" s="25">
        <v>360</v>
      </c>
      <c r="S41" s="10" t="s">
        <v>14</v>
      </c>
    </row>
    <row r="42" spans="13:19" ht="16.5" x14ac:dyDescent="0.25">
      <c r="M42" s="20" t="s">
        <v>104</v>
      </c>
      <c r="N42" s="25">
        <v>16</v>
      </c>
      <c r="O42" s="10" t="s">
        <v>37</v>
      </c>
      <c r="P42" s="25">
        <v>128</v>
      </c>
      <c r="Q42" s="30" t="s">
        <v>16</v>
      </c>
      <c r="R42" s="25">
        <v>360</v>
      </c>
      <c r="S42" s="10" t="s">
        <v>14</v>
      </c>
    </row>
    <row r="43" spans="13:19" ht="16.5" x14ac:dyDescent="0.25">
      <c r="M43" s="21" t="s">
        <v>105</v>
      </c>
      <c r="N43" s="25">
        <v>8</v>
      </c>
      <c r="O43" s="10" t="s">
        <v>37</v>
      </c>
      <c r="P43" s="25">
        <v>16</v>
      </c>
      <c r="Q43" s="10" t="s">
        <v>14</v>
      </c>
      <c r="R43" s="25">
        <v>200</v>
      </c>
      <c r="S43" s="10" t="s">
        <v>106</v>
      </c>
    </row>
    <row r="44" spans="13:19" ht="33" x14ac:dyDescent="0.25">
      <c r="M44" s="22" t="s">
        <v>107</v>
      </c>
      <c r="N44" s="25">
        <v>4</v>
      </c>
      <c r="O44" s="10" t="s">
        <v>37</v>
      </c>
      <c r="P44" s="25">
        <v>16</v>
      </c>
      <c r="Q44" s="10" t="s">
        <v>14</v>
      </c>
      <c r="R44" s="25">
        <v>560</v>
      </c>
      <c r="S44" s="10" t="s">
        <v>106</v>
      </c>
    </row>
    <row r="45" spans="13:19" ht="16.5" x14ac:dyDescent="0.25">
      <c r="M45" s="19" t="s">
        <v>108</v>
      </c>
      <c r="N45" s="58">
        <v>16</v>
      </c>
      <c r="O45" s="10" t="s">
        <v>37</v>
      </c>
      <c r="P45" s="58">
        <v>64</v>
      </c>
      <c r="Q45" s="10" t="s">
        <v>14</v>
      </c>
      <c r="R45" s="26">
        <v>600</v>
      </c>
      <c r="S45" s="27" t="s">
        <v>109</v>
      </c>
    </row>
    <row r="46" spans="13:19" ht="16.5" x14ac:dyDescent="0.25">
      <c r="M46" s="19" t="s">
        <v>110</v>
      </c>
      <c r="N46" s="58">
        <v>16</v>
      </c>
      <c r="O46" s="10" t="s">
        <v>37</v>
      </c>
      <c r="P46" s="58">
        <v>96</v>
      </c>
      <c r="Q46" s="10" t="s">
        <v>14</v>
      </c>
      <c r="R46" s="26">
        <v>500</v>
      </c>
      <c r="S46" s="27" t="s">
        <v>109</v>
      </c>
    </row>
    <row r="47" spans="13:19" ht="16.5" x14ac:dyDescent="0.25">
      <c r="M47" s="21" t="s">
        <v>111</v>
      </c>
      <c r="N47" s="28">
        <v>8</v>
      </c>
      <c r="O47" s="10" t="s">
        <v>37</v>
      </c>
      <c r="P47" s="28">
        <v>32</v>
      </c>
      <c r="Q47" s="10" t="s">
        <v>14</v>
      </c>
      <c r="R47" s="28">
        <v>100</v>
      </c>
      <c r="S47" s="10" t="s">
        <v>14</v>
      </c>
    </row>
    <row r="48" spans="13:19" ht="16.5" x14ac:dyDescent="0.25">
      <c r="M48" s="21" t="s">
        <v>112</v>
      </c>
      <c r="N48" s="28">
        <v>8</v>
      </c>
      <c r="O48" s="10" t="s">
        <v>37</v>
      </c>
      <c r="P48" s="28">
        <v>16</v>
      </c>
      <c r="Q48" s="10" t="s">
        <v>14</v>
      </c>
      <c r="R48" s="28">
        <v>60</v>
      </c>
      <c r="S48" s="10" t="s">
        <v>14</v>
      </c>
    </row>
    <row r="49" spans="13:19" ht="16.5" x14ac:dyDescent="0.25">
      <c r="M49" s="21" t="s">
        <v>113</v>
      </c>
      <c r="N49" s="28">
        <v>4</v>
      </c>
      <c r="O49" s="10" t="s">
        <v>37</v>
      </c>
      <c r="P49" s="28">
        <v>16</v>
      </c>
      <c r="Q49" s="10" t="s">
        <v>14</v>
      </c>
      <c r="R49" s="28">
        <v>60</v>
      </c>
      <c r="S49" s="10" t="s">
        <v>14</v>
      </c>
    </row>
    <row r="50" spans="13:19" ht="16.5" x14ac:dyDescent="0.25">
      <c r="M50" s="21" t="s">
        <v>114</v>
      </c>
      <c r="N50" s="28">
        <v>4</v>
      </c>
      <c r="O50" s="10" t="s">
        <v>37</v>
      </c>
      <c r="P50" s="28">
        <v>16</v>
      </c>
      <c r="Q50" s="10" t="s">
        <v>14</v>
      </c>
      <c r="R50" s="28">
        <v>60</v>
      </c>
      <c r="S50" s="10" t="s">
        <v>14</v>
      </c>
    </row>
    <row r="51" spans="13:19" ht="16.5" x14ac:dyDescent="0.25">
      <c r="M51" s="21" t="s">
        <v>115</v>
      </c>
      <c r="N51" s="28">
        <v>8</v>
      </c>
      <c r="O51" s="10" t="s">
        <v>37</v>
      </c>
      <c r="P51" s="28">
        <v>12</v>
      </c>
      <c r="Q51" s="10" t="s">
        <v>14</v>
      </c>
      <c r="R51" s="28">
        <v>150</v>
      </c>
      <c r="S51" s="10" t="s">
        <v>14</v>
      </c>
    </row>
    <row r="52" spans="13:19" ht="16.5" x14ac:dyDescent="0.25">
      <c r="M52" s="19" t="s">
        <v>116</v>
      </c>
      <c r="N52" s="28">
        <v>4</v>
      </c>
      <c r="O52" s="10" t="s">
        <v>37</v>
      </c>
      <c r="P52" s="28">
        <v>32</v>
      </c>
      <c r="Q52" s="10" t="s">
        <v>14</v>
      </c>
      <c r="R52" s="28">
        <v>300</v>
      </c>
      <c r="S52" s="10" t="s">
        <v>14</v>
      </c>
    </row>
    <row r="53" spans="13:19" ht="16.5" x14ac:dyDescent="0.25">
      <c r="M53" s="23" t="s">
        <v>117</v>
      </c>
      <c r="N53" s="59">
        <v>16</v>
      </c>
      <c r="O53" s="10" t="s">
        <v>37</v>
      </c>
      <c r="P53" s="59">
        <v>64</v>
      </c>
      <c r="Q53" s="10" t="s">
        <v>14</v>
      </c>
      <c r="R53" s="29">
        <v>1224</v>
      </c>
      <c r="S53" s="10" t="s">
        <v>14</v>
      </c>
    </row>
    <row r="54" spans="13:19" ht="16.5" x14ac:dyDescent="0.25">
      <c r="M54" s="23" t="s">
        <v>118</v>
      </c>
      <c r="N54" s="59">
        <v>16</v>
      </c>
      <c r="O54" s="10" t="s">
        <v>37</v>
      </c>
      <c r="P54" s="59">
        <v>64</v>
      </c>
      <c r="Q54" s="10" t="s">
        <v>14</v>
      </c>
      <c r="R54" s="29">
        <v>200</v>
      </c>
      <c r="S54" s="10" t="s">
        <v>14</v>
      </c>
    </row>
    <row r="55" spans="13:19" ht="16.5" x14ac:dyDescent="0.25">
      <c r="M55" s="19" t="s">
        <v>119</v>
      </c>
      <c r="N55" s="26">
        <v>16</v>
      </c>
      <c r="O55" s="10" t="s">
        <v>37</v>
      </c>
      <c r="P55" s="26">
        <v>32</v>
      </c>
      <c r="Q55" s="10" t="s">
        <v>14</v>
      </c>
      <c r="R55" s="26">
        <v>100</v>
      </c>
      <c r="S55" s="10" t="s">
        <v>14</v>
      </c>
    </row>
    <row r="56" spans="13:19" ht="16.5" x14ac:dyDescent="0.25">
      <c r="M56" s="19" t="s">
        <v>120</v>
      </c>
      <c r="N56" s="26">
        <v>8</v>
      </c>
      <c r="O56" s="10" t="s">
        <v>37</v>
      </c>
      <c r="P56" s="26">
        <v>24</v>
      </c>
      <c r="Q56" s="10" t="s">
        <v>14</v>
      </c>
      <c r="R56" s="26">
        <v>3100</v>
      </c>
      <c r="S56" s="10" t="s">
        <v>14</v>
      </c>
    </row>
    <row r="57" spans="13:19" ht="16.5" x14ac:dyDescent="0.25">
      <c r="M57" s="24" t="s">
        <v>121</v>
      </c>
      <c r="N57" s="29">
        <v>8</v>
      </c>
      <c r="O57" s="10" t="s">
        <v>37</v>
      </c>
      <c r="P57" s="29">
        <v>24</v>
      </c>
      <c r="Q57" s="10" t="s">
        <v>14</v>
      </c>
      <c r="R57" s="29">
        <v>80</v>
      </c>
      <c r="S57" s="10" t="s">
        <v>14</v>
      </c>
    </row>
    <row r="58" spans="13:19" ht="16.5" x14ac:dyDescent="0.25">
      <c r="M58" s="24" t="s">
        <v>122</v>
      </c>
      <c r="N58" s="29">
        <v>8</v>
      </c>
      <c r="O58" s="10" t="s">
        <v>37</v>
      </c>
      <c r="P58" s="29">
        <v>24</v>
      </c>
      <c r="Q58" s="10" t="s">
        <v>14</v>
      </c>
      <c r="R58" s="29">
        <v>80</v>
      </c>
      <c r="S58" s="10" t="s">
        <v>14</v>
      </c>
    </row>
    <row r="59" spans="13:19" ht="16.5" x14ac:dyDescent="0.25">
      <c r="M59" s="24" t="s">
        <v>123</v>
      </c>
      <c r="N59" s="29">
        <v>8</v>
      </c>
      <c r="O59" s="10" t="s">
        <v>37</v>
      </c>
      <c r="P59" s="29">
        <v>24</v>
      </c>
      <c r="Q59" s="10" t="s">
        <v>14</v>
      </c>
      <c r="R59" s="29">
        <v>80</v>
      </c>
      <c r="S59" s="10" t="s">
        <v>14</v>
      </c>
    </row>
    <row r="60" spans="13:19" ht="16.5" x14ac:dyDescent="0.25">
      <c r="M60" s="24" t="s">
        <v>124</v>
      </c>
      <c r="N60" s="29">
        <v>8</v>
      </c>
      <c r="O60" s="10" t="s">
        <v>37</v>
      </c>
      <c r="P60" s="29">
        <v>24</v>
      </c>
      <c r="Q60" s="10" t="s">
        <v>14</v>
      </c>
      <c r="R60" s="29">
        <v>80</v>
      </c>
      <c r="S60" s="10" t="s">
        <v>14</v>
      </c>
    </row>
    <row r="61" spans="13:19" ht="16.5" x14ac:dyDescent="0.25">
      <c r="M61" s="24" t="s">
        <v>125</v>
      </c>
      <c r="N61" s="29">
        <v>8</v>
      </c>
      <c r="O61" s="10" t="s">
        <v>37</v>
      </c>
      <c r="P61" s="29">
        <v>24</v>
      </c>
      <c r="Q61" s="10" t="s">
        <v>14</v>
      </c>
      <c r="R61" s="29">
        <v>80</v>
      </c>
      <c r="S61" s="10" t="s">
        <v>14</v>
      </c>
    </row>
    <row r="62" spans="13:19" ht="16.5" x14ac:dyDescent="0.25">
      <c r="M62" s="24" t="s">
        <v>126</v>
      </c>
      <c r="N62" s="29">
        <v>8</v>
      </c>
      <c r="O62" s="10" t="s">
        <v>37</v>
      </c>
      <c r="P62" s="29">
        <v>24</v>
      </c>
      <c r="Q62" s="10" t="s">
        <v>14</v>
      </c>
      <c r="R62" s="29">
        <v>80</v>
      </c>
      <c r="S62" s="10" t="s">
        <v>14</v>
      </c>
    </row>
    <row r="63" spans="13:19" ht="16.5" x14ac:dyDescent="0.25">
      <c r="M63" s="24" t="s">
        <v>127</v>
      </c>
      <c r="N63" s="29">
        <v>8</v>
      </c>
      <c r="O63" s="10" t="s">
        <v>37</v>
      </c>
      <c r="P63" s="29">
        <v>24</v>
      </c>
      <c r="Q63" s="10" t="s">
        <v>14</v>
      </c>
      <c r="R63" s="29">
        <v>80</v>
      </c>
      <c r="S63" s="10" t="s">
        <v>14</v>
      </c>
    </row>
    <row r="64" spans="13:19" ht="16.5" x14ac:dyDescent="0.25">
      <c r="M64" s="24" t="s">
        <v>128</v>
      </c>
      <c r="N64" s="29">
        <v>8</v>
      </c>
      <c r="O64" s="10" t="s">
        <v>37</v>
      </c>
      <c r="P64" s="29">
        <v>24</v>
      </c>
      <c r="Q64" s="10" t="s">
        <v>14</v>
      </c>
      <c r="R64" s="29">
        <v>80</v>
      </c>
      <c r="S64" s="10" t="s">
        <v>14</v>
      </c>
    </row>
    <row r="65" spans="13:19" ht="16.5" x14ac:dyDescent="0.25">
      <c r="M65" s="24" t="s">
        <v>129</v>
      </c>
      <c r="N65" s="29">
        <v>8</v>
      </c>
      <c r="O65" s="10" t="s">
        <v>37</v>
      </c>
      <c r="P65" s="29">
        <v>24</v>
      </c>
      <c r="Q65" s="10" t="s">
        <v>14</v>
      </c>
      <c r="R65" s="29">
        <v>80</v>
      </c>
      <c r="S65" s="10" t="s">
        <v>14</v>
      </c>
    </row>
    <row r="66" spans="13:19" ht="16.5" x14ac:dyDescent="0.25">
      <c r="M66" s="24" t="s">
        <v>130</v>
      </c>
      <c r="N66" s="29">
        <v>8</v>
      </c>
      <c r="O66" s="10" t="s">
        <v>37</v>
      </c>
      <c r="P66" s="29">
        <v>24</v>
      </c>
      <c r="Q66" s="10" t="s">
        <v>14</v>
      </c>
      <c r="R66" s="29">
        <v>80</v>
      </c>
      <c r="S66" s="10" t="s">
        <v>14</v>
      </c>
    </row>
    <row r="67" spans="13:19" ht="16.5" x14ac:dyDescent="0.25">
      <c r="M67" s="24" t="s">
        <v>131</v>
      </c>
      <c r="N67" s="29">
        <v>8</v>
      </c>
      <c r="O67" s="10" t="s">
        <v>37</v>
      </c>
      <c r="P67" s="29">
        <v>24</v>
      </c>
      <c r="Q67" s="10" t="s">
        <v>14</v>
      </c>
      <c r="R67" s="29">
        <v>80</v>
      </c>
      <c r="S67" s="10" t="s">
        <v>14</v>
      </c>
    </row>
    <row r="68" spans="13:19" ht="16.5" x14ac:dyDescent="0.25">
      <c r="M68" s="24" t="s">
        <v>132</v>
      </c>
      <c r="N68" s="29">
        <v>8</v>
      </c>
      <c r="O68" s="10" t="s">
        <v>37</v>
      </c>
      <c r="P68" s="29">
        <v>24</v>
      </c>
      <c r="Q68" s="10" t="s">
        <v>14</v>
      </c>
      <c r="R68" s="29">
        <v>80</v>
      </c>
      <c r="S68" s="10" t="s">
        <v>14</v>
      </c>
    </row>
    <row r="69" spans="13:19" ht="16.5" x14ac:dyDescent="0.25">
      <c r="M69" s="24" t="s">
        <v>133</v>
      </c>
      <c r="N69" s="29">
        <v>8</v>
      </c>
      <c r="O69" s="10" t="s">
        <v>37</v>
      </c>
      <c r="P69" s="29">
        <v>24</v>
      </c>
      <c r="Q69" s="10" t="s">
        <v>14</v>
      </c>
      <c r="R69" s="29">
        <v>80</v>
      </c>
      <c r="S69" s="30" t="s">
        <v>106</v>
      </c>
    </row>
    <row r="70" spans="13:19" ht="16.5" x14ac:dyDescent="0.25">
      <c r="M70" s="24" t="s">
        <v>134</v>
      </c>
      <c r="N70" s="29">
        <v>8</v>
      </c>
      <c r="O70" s="10" t="s">
        <v>37</v>
      </c>
      <c r="P70" s="29">
        <v>24</v>
      </c>
      <c r="Q70" s="10" t="s">
        <v>14</v>
      </c>
      <c r="R70" s="29">
        <v>80</v>
      </c>
      <c r="S70" s="10" t="s">
        <v>14</v>
      </c>
    </row>
    <row r="71" spans="13:19" ht="16.5" x14ac:dyDescent="0.25">
      <c r="M71" s="24" t="s">
        <v>135</v>
      </c>
      <c r="N71" s="29">
        <v>8</v>
      </c>
      <c r="O71" s="10" t="s">
        <v>37</v>
      </c>
      <c r="P71" s="29">
        <v>24</v>
      </c>
      <c r="Q71" s="10" t="s">
        <v>14</v>
      </c>
      <c r="R71" s="29">
        <v>80</v>
      </c>
      <c r="S71" s="10" t="s">
        <v>14</v>
      </c>
    </row>
    <row r="72" spans="13:19" ht="16.5" x14ac:dyDescent="0.25">
      <c r="M72" s="24" t="s">
        <v>136</v>
      </c>
      <c r="N72" s="29">
        <v>8</v>
      </c>
      <c r="O72" s="10" t="s">
        <v>37</v>
      </c>
      <c r="P72" s="29">
        <v>24</v>
      </c>
      <c r="Q72" s="10" t="s">
        <v>14</v>
      </c>
      <c r="R72" s="29">
        <v>80</v>
      </c>
      <c r="S72" s="10" t="s">
        <v>14</v>
      </c>
    </row>
    <row r="73" spans="13:19" ht="16.5" x14ac:dyDescent="0.25">
      <c r="M73" s="24" t="s">
        <v>137</v>
      </c>
      <c r="N73" s="29">
        <v>8</v>
      </c>
      <c r="O73" s="10" t="s">
        <v>37</v>
      </c>
      <c r="P73" s="29">
        <v>24</v>
      </c>
      <c r="Q73" s="10" t="s">
        <v>14</v>
      </c>
      <c r="R73" s="29">
        <v>80</v>
      </c>
      <c r="S73" s="10" t="s">
        <v>14</v>
      </c>
    </row>
    <row r="74" spans="13:19" ht="16.5" x14ac:dyDescent="0.25">
      <c r="M74" s="24" t="s">
        <v>138</v>
      </c>
      <c r="N74" s="29">
        <v>8</v>
      </c>
      <c r="O74" s="10" t="s">
        <v>37</v>
      </c>
      <c r="P74" s="29">
        <v>24</v>
      </c>
      <c r="Q74" s="10" t="s">
        <v>14</v>
      </c>
      <c r="R74" s="29">
        <v>80</v>
      </c>
      <c r="S74" s="10" t="s">
        <v>14</v>
      </c>
    </row>
    <row r="75" spans="13:19" ht="16.5" x14ac:dyDescent="0.25">
      <c r="M75" s="24" t="s">
        <v>139</v>
      </c>
      <c r="N75" s="29">
        <v>8</v>
      </c>
      <c r="O75" s="10" t="s">
        <v>37</v>
      </c>
      <c r="P75" s="29">
        <v>24</v>
      </c>
      <c r="Q75" s="10" t="s">
        <v>14</v>
      </c>
      <c r="R75" s="29">
        <v>80</v>
      </c>
      <c r="S75" s="10" t="s">
        <v>14</v>
      </c>
    </row>
    <row r="76" spans="13:19" ht="16.5" x14ac:dyDescent="0.25">
      <c r="M76" s="24" t="s">
        <v>140</v>
      </c>
      <c r="N76" s="29">
        <v>8</v>
      </c>
      <c r="O76" s="10" t="s">
        <v>37</v>
      </c>
      <c r="P76" s="29">
        <v>24</v>
      </c>
      <c r="Q76" s="10" t="s">
        <v>14</v>
      </c>
      <c r="R76" s="29">
        <v>80</v>
      </c>
      <c r="S76" s="10" t="s">
        <v>14</v>
      </c>
    </row>
    <row r="77" spans="13:19" ht="16.5" x14ac:dyDescent="0.25">
      <c r="M77" s="24" t="s">
        <v>141</v>
      </c>
      <c r="N77" s="29">
        <v>8</v>
      </c>
      <c r="O77" s="10" t="s">
        <v>37</v>
      </c>
      <c r="P77" s="29">
        <v>24</v>
      </c>
      <c r="Q77" s="10" t="s">
        <v>14</v>
      </c>
      <c r="R77" s="29">
        <v>80</v>
      </c>
      <c r="S77" s="10" t="s">
        <v>14</v>
      </c>
    </row>
    <row r="78" spans="13:19" ht="16.5" x14ac:dyDescent="0.25">
      <c r="M78" s="24" t="s">
        <v>142</v>
      </c>
      <c r="N78" s="29">
        <v>8</v>
      </c>
      <c r="O78" s="10" t="s">
        <v>37</v>
      </c>
      <c r="P78" s="29">
        <v>24</v>
      </c>
      <c r="Q78" s="10" t="s">
        <v>14</v>
      </c>
      <c r="R78" s="29">
        <v>80</v>
      </c>
      <c r="S78" s="10" t="s">
        <v>14</v>
      </c>
    </row>
    <row r="79" spans="13:19" ht="16.5" x14ac:dyDescent="0.25">
      <c r="M79" s="24" t="s">
        <v>143</v>
      </c>
      <c r="N79" s="29">
        <v>8</v>
      </c>
      <c r="O79" s="10" t="s">
        <v>37</v>
      </c>
      <c r="P79" s="29">
        <v>24</v>
      </c>
      <c r="Q79" s="10" t="s">
        <v>14</v>
      </c>
      <c r="R79" s="29">
        <v>80</v>
      </c>
      <c r="S79" s="10" t="s">
        <v>14</v>
      </c>
    </row>
    <row r="80" spans="13:19" ht="16.5" x14ac:dyDescent="0.25">
      <c r="M80" s="54" t="s">
        <v>144</v>
      </c>
      <c r="N80" s="29">
        <v>16</v>
      </c>
      <c r="O80" s="10" t="s">
        <v>37</v>
      </c>
      <c r="P80" s="29">
        <v>32</v>
      </c>
      <c r="Q80" s="10" t="s">
        <v>14</v>
      </c>
      <c r="R80" s="29">
        <v>560</v>
      </c>
      <c r="S80" s="10" t="s">
        <v>14</v>
      </c>
    </row>
    <row r="81" spans="13:19" ht="16.5" x14ac:dyDescent="0.25">
      <c r="M81" s="24" t="s">
        <v>145</v>
      </c>
      <c r="N81" s="29">
        <v>16</v>
      </c>
      <c r="O81" s="10" t="s">
        <v>37</v>
      </c>
      <c r="P81" s="29">
        <v>32</v>
      </c>
      <c r="Q81" s="10" t="s">
        <v>14</v>
      </c>
      <c r="R81" s="29">
        <v>560</v>
      </c>
      <c r="S81" s="10" t="s">
        <v>14</v>
      </c>
    </row>
    <row r="82" spans="13:19" ht="16.5" x14ac:dyDescent="0.25">
      <c r="M82" s="24" t="s">
        <v>146</v>
      </c>
      <c r="N82" s="29">
        <v>16</v>
      </c>
      <c r="O82" s="10" t="s">
        <v>37</v>
      </c>
      <c r="P82" s="29">
        <v>32</v>
      </c>
      <c r="Q82" s="10" t="s">
        <v>14</v>
      </c>
      <c r="R82" s="29">
        <v>560</v>
      </c>
      <c r="S82" s="10" t="s">
        <v>14</v>
      </c>
    </row>
    <row r="83" spans="13:19" ht="16.5" x14ac:dyDescent="0.25">
      <c r="M83" s="24" t="s">
        <v>147</v>
      </c>
      <c r="N83" s="29">
        <v>16</v>
      </c>
      <c r="O83" s="10" t="s">
        <v>37</v>
      </c>
      <c r="P83" s="29">
        <v>32</v>
      </c>
      <c r="Q83" s="10" t="s">
        <v>14</v>
      </c>
      <c r="R83" s="29">
        <v>260</v>
      </c>
      <c r="S83" s="10" t="s">
        <v>14</v>
      </c>
    </row>
    <row r="84" spans="13:19" ht="16.5" x14ac:dyDescent="0.25">
      <c r="M84" s="24" t="s">
        <v>148</v>
      </c>
      <c r="N84" s="29">
        <v>16</v>
      </c>
      <c r="O84" s="10" t="s">
        <v>37</v>
      </c>
      <c r="P84" s="29">
        <v>32</v>
      </c>
      <c r="Q84" s="10" t="s">
        <v>14</v>
      </c>
      <c r="R84" s="29">
        <v>260</v>
      </c>
      <c r="S84" s="10" t="s">
        <v>14</v>
      </c>
    </row>
    <row r="85" spans="13:19" ht="16.5" x14ac:dyDescent="0.25">
      <c r="M85" s="24" t="s">
        <v>149</v>
      </c>
      <c r="N85" s="29">
        <v>16</v>
      </c>
      <c r="O85" s="10" t="s">
        <v>37</v>
      </c>
      <c r="P85" s="29">
        <v>32</v>
      </c>
      <c r="Q85" s="10" t="s">
        <v>14</v>
      </c>
      <c r="R85" s="29">
        <v>260</v>
      </c>
      <c r="S85" s="10" t="s">
        <v>14</v>
      </c>
    </row>
    <row r="86" spans="13:19" ht="16.5" x14ac:dyDescent="0.25">
      <c r="M86" s="24" t="s">
        <v>150</v>
      </c>
      <c r="N86" s="29">
        <v>16</v>
      </c>
      <c r="O86" s="10" t="s">
        <v>37</v>
      </c>
      <c r="P86" s="29">
        <v>32</v>
      </c>
      <c r="Q86" s="10" t="s">
        <v>14</v>
      </c>
      <c r="R86" s="29">
        <v>260</v>
      </c>
      <c r="S86" s="10" t="s">
        <v>14</v>
      </c>
    </row>
    <row r="87" spans="13:19" ht="16.5" x14ac:dyDescent="0.25">
      <c r="M87" s="24" t="s">
        <v>151</v>
      </c>
      <c r="N87" s="29">
        <v>16</v>
      </c>
      <c r="O87" s="10" t="s">
        <v>37</v>
      </c>
      <c r="P87" s="29">
        <v>32</v>
      </c>
      <c r="Q87" s="10" t="s">
        <v>14</v>
      </c>
      <c r="R87" s="29">
        <v>560</v>
      </c>
      <c r="S87" s="10" t="s">
        <v>14</v>
      </c>
    </row>
    <row r="88" spans="13:19" ht="16.5" x14ac:dyDescent="0.25">
      <c r="M88" s="24" t="s">
        <v>152</v>
      </c>
      <c r="N88" s="29">
        <v>16</v>
      </c>
      <c r="O88" s="10" t="s">
        <v>37</v>
      </c>
      <c r="P88" s="29">
        <v>32</v>
      </c>
      <c r="Q88" s="10" t="s">
        <v>14</v>
      </c>
      <c r="R88" s="29">
        <v>560</v>
      </c>
      <c r="S88" s="10" t="s">
        <v>14</v>
      </c>
    </row>
    <row r="89" spans="13:19" ht="16.5" x14ac:dyDescent="0.25">
      <c r="M89" s="24" t="s">
        <v>153</v>
      </c>
      <c r="N89" s="29">
        <v>4</v>
      </c>
      <c r="O89" s="10" t="s">
        <v>37</v>
      </c>
      <c r="P89" s="29">
        <v>8</v>
      </c>
      <c r="Q89" s="10" t="s">
        <v>14</v>
      </c>
      <c r="R89" s="29">
        <v>80</v>
      </c>
      <c r="S89" s="10" t="s">
        <v>14</v>
      </c>
    </row>
    <row r="90" spans="13:19" ht="16.5" x14ac:dyDescent="0.25">
      <c r="M90" s="24" t="s">
        <v>154</v>
      </c>
      <c r="N90" s="29">
        <v>4</v>
      </c>
      <c r="O90" s="10" t="s">
        <v>37</v>
      </c>
      <c r="P90" s="29">
        <v>8</v>
      </c>
      <c r="Q90" s="10" t="s">
        <v>14</v>
      </c>
      <c r="R90" s="29">
        <v>80</v>
      </c>
      <c r="S90" s="10" t="s">
        <v>14</v>
      </c>
    </row>
    <row r="91" spans="13:19" ht="16.5" x14ac:dyDescent="0.25">
      <c r="M91" s="24" t="s">
        <v>155</v>
      </c>
      <c r="N91" s="29">
        <v>4</v>
      </c>
      <c r="O91" s="10" t="s">
        <v>37</v>
      </c>
      <c r="P91" s="29">
        <v>8</v>
      </c>
      <c r="Q91" s="10" t="s">
        <v>14</v>
      </c>
      <c r="R91" s="29">
        <v>80</v>
      </c>
      <c r="S91" s="10" t="s">
        <v>14</v>
      </c>
    </row>
    <row r="92" spans="13:19" ht="16.5" x14ac:dyDescent="0.25">
      <c r="M92" s="24" t="s">
        <v>156</v>
      </c>
      <c r="N92" s="29">
        <v>32</v>
      </c>
      <c r="O92" s="10" t="s">
        <v>37</v>
      </c>
      <c r="P92" s="29">
        <v>64</v>
      </c>
      <c r="Q92" s="30" t="s">
        <v>16</v>
      </c>
      <c r="R92" s="29">
        <v>1104</v>
      </c>
      <c r="S92" s="10" t="s">
        <v>14</v>
      </c>
    </row>
    <row r="93" spans="13:19" ht="16.5" x14ac:dyDescent="0.25">
      <c r="M93" s="24" t="s">
        <v>157</v>
      </c>
      <c r="N93" s="29">
        <v>8</v>
      </c>
      <c r="O93" s="10" t="s">
        <v>37</v>
      </c>
      <c r="P93" s="29">
        <v>32</v>
      </c>
      <c r="Q93" s="10" t="s">
        <v>14</v>
      </c>
      <c r="R93" s="29">
        <v>200</v>
      </c>
      <c r="S93" s="10" t="s">
        <v>14</v>
      </c>
    </row>
    <row r="94" spans="13:19" ht="16.5" x14ac:dyDescent="0.25">
      <c r="M94" s="24" t="s">
        <v>158</v>
      </c>
      <c r="N94" s="29">
        <v>8</v>
      </c>
      <c r="O94" s="10" t="s">
        <v>37</v>
      </c>
      <c r="P94" s="29">
        <v>32</v>
      </c>
      <c r="Q94" s="10" t="s">
        <v>14</v>
      </c>
      <c r="R94" s="29">
        <v>200</v>
      </c>
      <c r="S94" s="10" t="s">
        <v>14</v>
      </c>
    </row>
    <row r="95" spans="13:19" ht="16.5" x14ac:dyDescent="0.25">
      <c r="M95" s="24" t="s">
        <v>159</v>
      </c>
      <c r="N95" s="29">
        <v>16</v>
      </c>
      <c r="O95" s="10" t="s">
        <v>37</v>
      </c>
      <c r="P95" s="29">
        <v>64</v>
      </c>
      <c r="Q95" s="10" t="s">
        <v>14</v>
      </c>
      <c r="R95" s="29">
        <v>80</v>
      </c>
      <c r="S95" s="10" t="s">
        <v>14</v>
      </c>
    </row>
    <row r="96" spans="13:19" ht="16.5" x14ac:dyDescent="0.25">
      <c r="M96" s="24" t="s">
        <v>160</v>
      </c>
      <c r="N96" s="29">
        <v>4</v>
      </c>
      <c r="O96" s="10" t="s">
        <v>37</v>
      </c>
      <c r="P96" s="29">
        <v>8</v>
      </c>
      <c r="Q96" s="10" t="s">
        <v>14</v>
      </c>
      <c r="R96" s="29">
        <v>80</v>
      </c>
      <c r="S96" s="10" t="s">
        <v>14</v>
      </c>
    </row>
    <row r="97" spans="13:19" ht="16.5" x14ac:dyDescent="0.25">
      <c r="M97" s="24" t="s">
        <v>161</v>
      </c>
      <c r="N97" s="29">
        <v>16</v>
      </c>
      <c r="O97" s="10" t="s">
        <v>37</v>
      </c>
      <c r="P97" s="29">
        <v>64</v>
      </c>
      <c r="Q97" s="30" t="s">
        <v>13</v>
      </c>
      <c r="R97" s="29">
        <v>320</v>
      </c>
      <c r="S97" s="10" t="s">
        <v>14</v>
      </c>
    </row>
    <row r="98" spans="13:19" ht="16.5" x14ac:dyDescent="0.25">
      <c r="M98" s="24" t="s">
        <v>162</v>
      </c>
      <c r="N98" s="29">
        <v>16</v>
      </c>
      <c r="O98" s="10" t="s">
        <v>37</v>
      </c>
      <c r="P98" s="29">
        <v>64</v>
      </c>
      <c r="Q98" s="30" t="s">
        <v>13</v>
      </c>
      <c r="R98" s="29">
        <v>320</v>
      </c>
      <c r="S98" s="10" t="s">
        <v>14</v>
      </c>
    </row>
    <row r="99" spans="13:19" ht="16.5" x14ac:dyDescent="0.25">
      <c r="M99" s="24" t="s">
        <v>163</v>
      </c>
      <c r="N99" s="29">
        <v>16</v>
      </c>
      <c r="O99" s="10" t="s">
        <v>37</v>
      </c>
      <c r="P99" s="29">
        <v>64</v>
      </c>
      <c r="Q99" s="30" t="s">
        <v>13</v>
      </c>
      <c r="R99" s="29">
        <v>320</v>
      </c>
      <c r="S99" s="10" t="s">
        <v>14</v>
      </c>
    </row>
    <row r="100" spans="13:19" ht="16.5" x14ac:dyDescent="0.25">
      <c r="M100" s="24" t="s">
        <v>164</v>
      </c>
      <c r="N100" s="29">
        <v>16</v>
      </c>
      <c r="O100" s="10" t="s">
        <v>37</v>
      </c>
      <c r="P100" s="59">
        <v>64</v>
      </c>
      <c r="Q100" s="30" t="s">
        <v>13</v>
      </c>
      <c r="R100" s="29">
        <v>320</v>
      </c>
      <c r="S100" s="10" t="s">
        <v>14</v>
      </c>
    </row>
    <row r="101" spans="13:19" ht="16.5" x14ac:dyDescent="0.25">
      <c r="M101" s="24" t="s">
        <v>165</v>
      </c>
      <c r="N101" s="29">
        <v>16</v>
      </c>
      <c r="O101" s="10" t="s">
        <v>37</v>
      </c>
      <c r="P101" s="59">
        <v>64</v>
      </c>
      <c r="Q101" s="30" t="s">
        <v>13</v>
      </c>
      <c r="R101" s="29">
        <v>320</v>
      </c>
      <c r="S101" s="10" t="s">
        <v>14</v>
      </c>
    </row>
    <row r="102" spans="13:19" ht="16.5" x14ac:dyDescent="0.25">
      <c r="M102" s="24" t="s">
        <v>166</v>
      </c>
      <c r="N102" s="29">
        <v>16</v>
      </c>
      <c r="O102" s="10" t="s">
        <v>37</v>
      </c>
      <c r="P102" s="59">
        <v>64</v>
      </c>
      <c r="Q102" s="30" t="s">
        <v>13</v>
      </c>
      <c r="R102" s="29">
        <v>320</v>
      </c>
      <c r="S102" s="10" t="s">
        <v>14</v>
      </c>
    </row>
    <row r="103" spans="13:19" ht="16.5" x14ac:dyDescent="0.25">
      <c r="M103" s="24" t="s">
        <v>167</v>
      </c>
      <c r="N103" s="29">
        <v>16</v>
      </c>
      <c r="O103" s="10" t="s">
        <v>37</v>
      </c>
      <c r="P103" s="59">
        <v>64</v>
      </c>
      <c r="Q103" s="30" t="s">
        <v>13</v>
      </c>
      <c r="R103" s="29">
        <v>320</v>
      </c>
      <c r="S103" s="10" t="s">
        <v>14</v>
      </c>
    </row>
    <row r="104" spans="13:19" ht="16.5" x14ac:dyDescent="0.25">
      <c r="M104" s="24" t="s">
        <v>168</v>
      </c>
      <c r="N104" s="29">
        <v>16</v>
      </c>
      <c r="O104" s="10" t="s">
        <v>37</v>
      </c>
      <c r="P104" s="59">
        <v>64</v>
      </c>
      <c r="Q104" s="30" t="s">
        <v>13</v>
      </c>
      <c r="R104" s="29">
        <v>320</v>
      </c>
      <c r="S104" s="10" t="s">
        <v>14</v>
      </c>
    </row>
    <row r="105" spans="13:19" ht="16.5" x14ac:dyDescent="0.25">
      <c r="M105" s="24" t="s">
        <v>169</v>
      </c>
      <c r="N105" s="29">
        <v>16</v>
      </c>
      <c r="O105" s="10" t="s">
        <v>37</v>
      </c>
      <c r="P105" s="59">
        <v>64</v>
      </c>
      <c r="Q105" s="30" t="s">
        <v>13</v>
      </c>
      <c r="R105" s="29">
        <v>320</v>
      </c>
      <c r="S105" s="10" t="s">
        <v>14</v>
      </c>
    </row>
    <row r="106" spans="13:19" ht="16.5" x14ac:dyDescent="0.25">
      <c r="M106" s="24" t="s">
        <v>170</v>
      </c>
      <c r="N106" s="29">
        <v>16</v>
      </c>
      <c r="O106" s="10" t="s">
        <v>37</v>
      </c>
      <c r="P106" s="59">
        <v>96</v>
      </c>
      <c r="Q106" s="30" t="s">
        <v>16</v>
      </c>
      <c r="R106" s="29">
        <v>320</v>
      </c>
      <c r="S106" s="10" t="s">
        <v>14</v>
      </c>
    </row>
    <row r="107" spans="13:19" ht="16.5" x14ac:dyDescent="0.25">
      <c r="M107" s="24" t="s">
        <v>171</v>
      </c>
      <c r="N107" s="29">
        <v>16</v>
      </c>
      <c r="O107" s="10" t="s">
        <v>37</v>
      </c>
      <c r="P107" s="59">
        <v>96</v>
      </c>
      <c r="Q107" s="30" t="s">
        <v>16</v>
      </c>
      <c r="R107" s="29">
        <v>320</v>
      </c>
      <c r="S107" s="10" t="s">
        <v>14</v>
      </c>
    </row>
    <row r="108" spans="13:19" ht="16.5" x14ac:dyDescent="0.25">
      <c r="M108" s="24" t="s">
        <v>172</v>
      </c>
      <c r="N108" s="29">
        <v>16</v>
      </c>
      <c r="O108" s="10" t="s">
        <v>37</v>
      </c>
      <c r="P108" s="59">
        <v>96</v>
      </c>
      <c r="Q108" s="30" t="s">
        <v>16</v>
      </c>
      <c r="R108" s="29">
        <v>320</v>
      </c>
      <c r="S108" s="10" t="s">
        <v>14</v>
      </c>
    </row>
    <row r="109" spans="13:19" ht="16.5" x14ac:dyDescent="0.25">
      <c r="M109" s="24" t="s">
        <v>173</v>
      </c>
      <c r="N109" s="29">
        <v>16</v>
      </c>
      <c r="O109" s="10" t="s">
        <v>37</v>
      </c>
      <c r="P109" s="29">
        <v>48</v>
      </c>
      <c r="Q109" s="30" t="s">
        <v>416</v>
      </c>
      <c r="R109" s="29">
        <v>250</v>
      </c>
      <c r="S109" s="10" t="s">
        <v>14</v>
      </c>
    </row>
    <row r="110" spans="13:19" ht="16.5" x14ac:dyDescent="0.25">
      <c r="M110" s="24" t="s">
        <v>174</v>
      </c>
      <c r="N110" s="29">
        <v>16</v>
      </c>
      <c r="O110" s="10" t="s">
        <v>37</v>
      </c>
      <c r="P110" s="29">
        <v>48</v>
      </c>
      <c r="Q110" s="30" t="s">
        <v>416</v>
      </c>
      <c r="R110" s="29">
        <v>250</v>
      </c>
      <c r="S110" s="10" t="s">
        <v>14</v>
      </c>
    </row>
    <row r="111" spans="13:19" ht="16.5" x14ac:dyDescent="0.25">
      <c r="M111" s="24" t="s">
        <v>175</v>
      </c>
      <c r="N111" s="29">
        <v>16</v>
      </c>
      <c r="O111" s="10" t="s">
        <v>37</v>
      </c>
      <c r="P111" s="29">
        <v>48</v>
      </c>
      <c r="Q111" s="30" t="s">
        <v>417</v>
      </c>
      <c r="R111" s="29">
        <v>250</v>
      </c>
      <c r="S111" s="10" t="s">
        <v>14</v>
      </c>
    </row>
    <row r="112" spans="13:19" ht="16.5" x14ac:dyDescent="0.25">
      <c r="M112" s="24" t="s">
        <v>176</v>
      </c>
      <c r="N112" s="29">
        <v>16</v>
      </c>
      <c r="O112" s="10" t="s">
        <v>37</v>
      </c>
      <c r="P112" s="29">
        <v>48</v>
      </c>
      <c r="Q112" s="30" t="s">
        <v>417</v>
      </c>
      <c r="R112" s="29">
        <v>250</v>
      </c>
      <c r="S112" s="10" t="s">
        <v>14</v>
      </c>
    </row>
    <row r="113" spans="13:19" ht="16.5" x14ac:dyDescent="0.25">
      <c r="M113" s="24" t="s">
        <v>177</v>
      </c>
      <c r="N113" s="29">
        <v>16</v>
      </c>
      <c r="O113" s="10" t="s">
        <v>37</v>
      </c>
      <c r="P113" s="29">
        <v>48</v>
      </c>
      <c r="Q113" s="67" t="s">
        <v>226</v>
      </c>
      <c r="R113" s="29">
        <v>250</v>
      </c>
      <c r="S113" s="10" t="s">
        <v>14</v>
      </c>
    </row>
    <row r="114" spans="13:19" ht="16.5" x14ac:dyDescent="0.25">
      <c r="M114" s="24" t="s">
        <v>178</v>
      </c>
      <c r="N114" s="29">
        <v>16</v>
      </c>
      <c r="O114" s="10" t="s">
        <v>37</v>
      </c>
      <c r="P114" s="29">
        <v>48</v>
      </c>
      <c r="Q114" s="67" t="s">
        <v>226</v>
      </c>
      <c r="R114" s="29">
        <v>250</v>
      </c>
      <c r="S114" s="10" t="s">
        <v>14</v>
      </c>
    </row>
    <row r="115" spans="13:19" ht="16.5" x14ac:dyDescent="0.25">
      <c r="M115" s="24" t="s">
        <v>179</v>
      </c>
      <c r="N115" s="29">
        <v>16</v>
      </c>
      <c r="O115" s="10" t="s">
        <v>37</v>
      </c>
      <c r="P115" s="29">
        <v>48</v>
      </c>
      <c r="Q115" s="30" t="s">
        <v>417</v>
      </c>
      <c r="R115" s="29">
        <v>250</v>
      </c>
      <c r="S115" s="10" t="s">
        <v>14</v>
      </c>
    </row>
    <row r="116" spans="13:19" ht="16.5" x14ac:dyDescent="0.25">
      <c r="M116" s="24" t="s">
        <v>180</v>
      </c>
      <c r="N116" s="29">
        <v>16</v>
      </c>
      <c r="O116" s="10" t="s">
        <v>37</v>
      </c>
      <c r="P116" s="29">
        <v>48</v>
      </c>
      <c r="Q116" s="30" t="s">
        <v>417</v>
      </c>
      <c r="R116" s="29">
        <v>250</v>
      </c>
      <c r="S116" s="10" t="s">
        <v>14</v>
      </c>
    </row>
    <row r="117" spans="13:19" ht="16.5" x14ac:dyDescent="0.25">
      <c r="M117" s="55" t="s">
        <v>266</v>
      </c>
      <c r="N117" s="59">
        <v>24</v>
      </c>
      <c r="O117" s="60" t="s">
        <v>37</v>
      </c>
      <c r="P117" s="59">
        <v>32</v>
      </c>
      <c r="Q117" s="30" t="s">
        <v>16</v>
      </c>
      <c r="R117" s="59">
        <v>256</v>
      </c>
      <c r="S117" s="10" t="s">
        <v>14</v>
      </c>
    </row>
    <row r="118" spans="13:19" ht="16.5" x14ac:dyDescent="0.25">
      <c r="M118" s="55" t="s">
        <v>267</v>
      </c>
      <c r="N118" s="61">
        <v>24</v>
      </c>
      <c r="O118" s="60" t="s">
        <v>37</v>
      </c>
      <c r="P118" s="61">
        <v>32</v>
      </c>
      <c r="Q118" s="30" t="s">
        <v>16</v>
      </c>
      <c r="R118" s="61">
        <v>256</v>
      </c>
      <c r="S118" s="10" t="s">
        <v>14</v>
      </c>
    </row>
    <row r="119" spans="13:19" ht="16.5" x14ac:dyDescent="0.25">
      <c r="M119" s="56" t="s">
        <v>268</v>
      </c>
      <c r="N119" s="57">
        <v>24</v>
      </c>
      <c r="O119" s="60" t="s">
        <v>37</v>
      </c>
      <c r="P119" s="57">
        <v>32</v>
      </c>
      <c r="Q119" s="30" t="s">
        <v>16</v>
      </c>
      <c r="R119" s="57">
        <v>256</v>
      </c>
      <c r="S119" s="10" t="s">
        <v>14</v>
      </c>
    </row>
  </sheetData>
  <mergeCells count="1">
    <mergeCell ref="A2: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>
      <selection activeCell="H6" sqref="H6"/>
    </sheetView>
  </sheetViews>
  <sheetFormatPr defaultRowHeight="15" x14ac:dyDescent="0.25"/>
  <cols>
    <col min="3" max="3" width="22.28515625" bestFit="1" customWidth="1"/>
    <col min="6" max="6" width="13.140625" bestFit="1" customWidth="1"/>
    <col min="13" max="13" width="18.28515625" bestFit="1" customWidth="1"/>
    <col min="14" max="14" width="5.42578125" bestFit="1" customWidth="1"/>
    <col min="16" max="16" width="10" bestFit="1" customWidth="1"/>
  </cols>
  <sheetData>
    <row r="1" spans="1:17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2" t="s">
        <v>5</v>
      </c>
      <c r="Q1" s="1" t="s">
        <v>6</v>
      </c>
    </row>
    <row r="2" spans="1:17" ht="16.5" x14ac:dyDescent="0.25">
      <c r="A2" s="62">
        <v>1</v>
      </c>
      <c r="B2" s="3"/>
      <c r="C2" s="4" t="s">
        <v>181</v>
      </c>
      <c r="D2" s="3">
        <v>960</v>
      </c>
      <c r="E2" s="3">
        <v>2176</v>
      </c>
      <c r="F2" s="5" t="s">
        <v>432</v>
      </c>
      <c r="G2" s="5"/>
      <c r="K2" s="11"/>
      <c r="L2" s="11"/>
      <c r="M2" s="32" t="s">
        <v>182</v>
      </c>
      <c r="N2" s="33">
        <v>64</v>
      </c>
      <c r="O2" s="33">
        <v>128</v>
      </c>
      <c r="P2" s="33" t="s">
        <v>196</v>
      </c>
      <c r="Q2" s="11"/>
    </row>
    <row r="3" spans="1:17" ht="16.5" x14ac:dyDescent="0.25">
      <c r="A3" s="63"/>
      <c r="B3" s="3"/>
      <c r="C3" s="3" t="s">
        <v>8</v>
      </c>
      <c r="D3" s="3">
        <v>960</v>
      </c>
      <c r="E3" s="3">
        <v>2176</v>
      </c>
      <c r="F3" s="5" t="s">
        <v>433</v>
      </c>
      <c r="G3" s="5"/>
      <c r="K3" s="11"/>
      <c r="L3" s="11"/>
      <c r="M3" s="32" t="s">
        <v>183</v>
      </c>
      <c r="N3" s="33">
        <v>64</v>
      </c>
      <c r="O3" s="33">
        <v>128</v>
      </c>
      <c r="P3" s="33" t="s">
        <v>196</v>
      </c>
      <c r="Q3" s="11"/>
    </row>
    <row r="4" spans="1:17" ht="16.5" x14ac:dyDescent="0.25">
      <c r="A4" s="64"/>
      <c r="B4" s="3"/>
      <c r="C4" s="6" t="s">
        <v>9</v>
      </c>
      <c r="D4" s="6"/>
      <c r="E4" s="6"/>
      <c r="F4" s="5"/>
      <c r="G4" s="5"/>
      <c r="K4" s="11"/>
      <c r="L4" s="11"/>
      <c r="M4" s="32" t="s">
        <v>184</v>
      </c>
      <c r="N4" s="33">
        <v>64</v>
      </c>
      <c r="O4" s="33">
        <v>128</v>
      </c>
      <c r="P4" s="33" t="s">
        <v>196</v>
      </c>
      <c r="Q4" s="11"/>
    </row>
    <row r="5" spans="1:17" ht="16.5" x14ac:dyDescent="0.25">
      <c r="K5" s="11"/>
      <c r="L5" s="11"/>
      <c r="M5" s="32" t="s">
        <v>185</v>
      </c>
      <c r="N5" s="33">
        <v>64</v>
      </c>
      <c r="O5" s="33">
        <v>128</v>
      </c>
      <c r="P5" s="33" t="s">
        <v>196</v>
      </c>
      <c r="Q5" s="11"/>
    </row>
    <row r="6" spans="1:17" ht="31.5" x14ac:dyDescent="0.25">
      <c r="A6" s="7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195</v>
      </c>
      <c r="G6" s="1" t="s">
        <v>6</v>
      </c>
      <c r="K6" s="11"/>
      <c r="L6" s="11"/>
      <c r="M6" s="32" t="s">
        <v>186</v>
      </c>
      <c r="N6" s="33">
        <v>64</v>
      </c>
      <c r="O6" s="33">
        <v>128</v>
      </c>
      <c r="P6" s="33" t="s">
        <v>196</v>
      </c>
      <c r="Q6" s="11"/>
    </row>
    <row r="7" spans="1:17" ht="16.5" x14ac:dyDescent="0.25">
      <c r="A7" s="8"/>
      <c r="B7" s="8"/>
      <c r="C7" s="32" t="s">
        <v>182</v>
      </c>
      <c r="D7" s="3" t="s">
        <v>37</v>
      </c>
      <c r="E7" s="10" t="s">
        <v>14</v>
      </c>
      <c r="F7" s="10" t="s">
        <v>14</v>
      </c>
      <c r="G7" s="3"/>
      <c r="K7" s="11"/>
      <c r="L7" s="11"/>
      <c r="M7" s="32" t="s">
        <v>187</v>
      </c>
      <c r="N7" s="33">
        <v>64</v>
      </c>
      <c r="O7" s="33">
        <v>128</v>
      </c>
      <c r="P7" s="33" t="s">
        <v>196</v>
      </c>
      <c r="Q7" s="11"/>
    </row>
    <row r="8" spans="1:17" ht="16.5" x14ac:dyDescent="0.25">
      <c r="A8" s="8"/>
      <c r="B8" s="8"/>
      <c r="C8" s="32" t="s">
        <v>183</v>
      </c>
      <c r="D8" s="3" t="s">
        <v>37</v>
      </c>
      <c r="E8" s="10" t="s">
        <v>14</v>
      </c>
      <c r="F8" s="10" t="s">
        <v>14</v>
      </c>
      <c r="G8" s="3"/>
      <c r="K8" s="11"/>
      <c r="L8" s="11"/>
      <c r="M8" s="32" t="s">
        <v>188</v>
      </c>
      <c r="N8" s="33">
        <v>64</v>
      </c>
      <c r="O8" s="33">
        <v>128</v>
      </c>
      <c r="P8" s="33" t="s">
        <v>196</v>
      </c>
      <c r="Q8" s="11"/>
    </row>
    <row r="9" spans="1:17" ht="16.5" x14ac:dyDescent="0.25">
      <c r="A9" s="8"/>
      <c r="B9" s="8"/>
      <c r="C9" s="32" t="s">
        <v>184</v>
      </c>
      <c r="D9" s="3" t="s">
        <v>37</v>
      </c>
      <c r="E9" s="10" t="s">
        <v>14</v>
      </c>
      <c r="F9" s="10" t="s">
        <v>14</v>
      </c>
      <c r="G9" s="3"/>
      <c r="K9" s="11"/>
      <c r="L9" s="11"/>
      <c r="M9" s="32" t="s">
        <v>189</v>
      </c>
      <c r="N9" s="33">
        <v>64</v>
      </c>
      <c r="O9" s="33">
        <v>128</v>
      </c>
      <c r="P9" s="33" t="s">
        <v>196</v>
      </c>
      <c r="Q9" s="11"/>
    </row>
    <row r="10" spans="1:17" ht="16.5" x14ac:dyDescent="0.25">
      <c r="A10" s="8"/>
      <c r="B10" s="8"/>
      <c r="C10" s="32" t="s">
        <v>185</v>
      </c>
      <c r="D10" s="3" t="s">
        <v>37</v>
      </c>
      <c r="E10" s="10" t="s">
        <v>14</v>
      </c>
      <c r="F10" s="10" t="s">
        <v>14</v>
      </c>
      <c r="G10" s="3"/>
      <c r="K10" s="11"/>
      <c r="L10" s="11"/>
      <c r="M10" s="32" t="s">
        <v>190</v>
      </c>
      <c r="N10" s="33">
        <v>64</v>
      </c>
      <c r="O10" s="33">
        <v>128</v>
      </c>
      <c r="P10" s="33" t="s">
        <v>196</v>
      </c>
      <c r="Q10" s="11"/>
    </row>
    <row r="11" spans="1:17" ht="16.5" x14ac:dyDescent="0.25">
      <c r="A11" s="8"/>
      <c r="B11" s="8"/>
      <c r="C11" s="32" t="s">
        <v>186</v>
      </c>
      <c r="D11" s="3" t="s">
        <v>37</v>
      </c>
      <c r="E11" s="10" t="s">
        <v>14</v>
      </c>
      <c r="F11" s="10" t="s">
        <v>14</v>
      </c>
      <c r="G11" s="3"/>
      <c r="K11" s="11"/>
      <c r="L11" s="11"/>
      <c r="M11" s="32" t="s">
        <v>191</v>
      </c>
      <c r="N11" s="33">
        <v>64</v>
      </c>
      <c r="O11" s="33">
        <v>128</v>
      </c>
      <c r="P11" s="33" t="s">
        <v>196</v>
      </c>
      <c r="Q11" s="11"/>
    </row>
    <row r="12" spans="1:17" ht="16.5" x14ac:dyDescent="0.25">
      <c r="A12" s="8"/>
      <c r="B12" s="8"/>
      <c r="C12" s="32" t="s">
        <v>187</v>
      </c>
      <c r="D12" s="3" t="s">
        <v>37</v>
      </c>
      <c r="E12" s="10" t="s">
        <v>14</v>
      </c>
      <c r="F12" s="10" t="s">
        <v>14</v>
      </c>
      <c r="G12" s="3"/>
      <c r="K12" s="11"/>
      <c r="L12" s="11"/>
      <c r="M12" s="32" t="s">
        <v>192</v>
      </c>
      <c r="N12" s="33">
        <v>64</v>
      </c>
      <c r="O12" s="33">
        <v>128</v>
      </c>
      <c r="P12" s="33" t="s">
        <v>196</v>
      </c>
      <c r="Q12" s="11"/>
    </row>
    <row r="13" spans="1:17" ht="16.5" x14ac:dyDescent="0.25">
      <c r="A13" s="8"/>
      <c r="B13" s="8"/>
      <c r="C13" s="32" t="s">
        <v>188</v>
      </c>
      <c r="D13" s="3" t="s">
        <v>37</v>
      </c>
      <c r="E13" s="10" t="s">
        <v>14</v>
      </c>
      <c r="F13" s="10" t="s">
        <v>14</v>
      </c>
      <c r="G13" s="3"/>
      <c r="K13" s="11"/>
      <c r="L13" s="11"/>
      <c r="M13" s="32" t="s">
        <v>193</v>
      </c>
      <c r="N13" s="33">
        <v>128</v>
      </c>
      <c r="O13" s="33">
        <v>384</v>
      </c>
      <c r="P13" s="34" t="s">
        <v>197</v>
      </c>
      <c r="Q13" s="11"/>
    </row>
    <row r="14" spans="1:17" ht="16.5" x14ac:dyDescent="0.25">
      <c r="A14" s="8"/>
      <c r="B14" s="8"/>
      <c r="C14" s="32" t="s">
        <v>189</v>
      </c>
      <c r="D14" s="3" t="s">
        <v>37</v>
      </c>
      <c r="E14" s="10" t="s">
        <v>14</v>
      </c>
      <c r="F14" s="10" t="s">
        <v>14</v>
      </c>
      <c r="G14" s="3"/>
      <c r="K14" s="11"/>
      <c r="L14" s="11"/>
      <c r="M14" s="32" t="s">
        <v>194</v>
      </c>
      <c r="N14" s="33">
        <v>128</v>
      </c>
      <c r="O14" s="33">
        <v>384</v>
      </c>
      <c r="P14" s="34" t="s">
        <v>197</v>
      </c>
      <c r="Q14" s="11"/>
    </row>
    <row r="15" spans="1:17" ht="16.5" x14ac:dyDescent="0.25">
      <c r="A15" s="8"/>
      <c r="B15" s="8"/>
      <c r="C15" s="32" t="s">
        <v>190</v>
      </c>
      <c r="D15" s="3" t="s">
        <v>37</v>
      </c>
      <c r="E15" s="10" t="s">
        <v>14</v>
      </c>
      <c r="F15" s="10" t="s">
        <v>14</v>
      </c>
      <c r="G15" s="3"/>
    </row>
    <row r="16" spans="1:17" ht="16.5" x14ac:dyDescent="0.25">
      <c r="A16" s="8"/>
      <c r="B16" s="8"/>
      <c r="C16" s="32" t="s">
        <v>191</v>
      </c>
      <c r="D16" s="3" t="s">
        <v>37</v>
      </c>
      <c r="E16" s="10" t="s">
        <v>14</v>
      </c>
      <c r="F16" s="10" t="s">
        <v>14</v>
      </c>
      <c r="G16" s="3"/>
    </row>
    <row r="17" spans="1:7" ht="16.5" x14ac:dyDescent="0.25">
      <c r="A17" s="8"/>
      <c r="B17" s="8"/>
      <c r="C17" s="32" t="s">
        <v>192</v>
      </c>
      <c r="D17" s="3" t="s">
        <v>37</v>
      </c>
      <c r="E17" s="10" t="s">
        <v>14</v>
      </c>
      <c r="F17" s="10" t="s">
        <v>14</v>
      </c>
      <c r="G17" s="3"/>
    </row>
    <row r="18" spans="1:7" ht="16.5" x14ac:dyDescent="0.25">
      <c r="A18" s="8"/>
      <c r="B18" s="8"/>
      <c r="C18" s="32" t="s">
        <v>193</v>
      </c>
      <c r="D18" s="3" t="s">
        <v>37</v>
      </c>
      <c r="E18" s="10" t="s">
        <v>14</v>
      </c>
      <c r="F18" s="10" t="s">
        <v>14</v>
      </c>
      <c r="G18" s="10"/>
    </row>
    <row r="19" spans="1:7" ht="16.5" x14ac:dyDescent="0.25">
      <c r="A19" s="8"/>
      <c r="B19" s="8"/>
      <c r="C19" s="32" t="s">
        <v>194</v>
      </c>
      <c r="D19" s="3" t="s">
        <v>37</v>
      </c>
      <c r="E19" s="10" t="s">
        <v>14</v>
      </c>
      <c r="F19" s="10" t="s">
        <v>14</v>
      </c>
      <c r="G19" s="10"/>
    </row>
  </sheetData>
  <mergeCells count="1">
    <mergeCell ref="A2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activeCell="K1" sqref="K1:Q3"/>
    </sheetView>
  </sheetViews>
  <sheetFormatPr defaultRowHeight="15" x14ac:dyDescent="0.25"/>
  <cols>
    <col min="3" max="3" width="19.7109375" bestFit="1" customWidth="1"/>
    <col min="13" max="13" width="19.7109375" bestFit="1" customWidth="1"/>
    <col min="16" max="16" width="10" bestFit="1" customWidth="1"/>
  </cols>
  <sheetData>
    <row r="1" spans="1:17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2" t="s">
        <v>5</v>
      </c>
      <c r="Q1" s="1" t="s">
        <v>6</v>
      </c>
    </row>
    <row r="2" spans="1:17" ht="16.5" x14ac:dyDescent="0.25">
      <c r="A2" s="62">
        <v>1</v>
      </c>
      <c r="B2" s="3"/>
      <c r="C2" s="4" t="s">
        <v>198</v>
      </c>
      <c r="D2" s="3">
        <v>128</v>
      </c>
      <c r="E2" s="3">
        <v>1024</v>
      </c>
      <c r="F2" s="5" t="s">
        <v>200</v>
      </c>
      <c r="G2" s="5"/>
      <c r="K2" s="11"/>
      <c r="L2" s="11"/>
      <c r="M2" s="32" t="s">
        <v>203</v>
      </c>
      <c r="N2" s="33"/>
      <c r="O2" s="33"/>
      <c r="P2" s="33" t="s">
        <v>215</v>
      </c>
      <c r="Q2" s="11"/>
    </row>
    <row r="3" spans="1:17" ht="16.5" x14ac:dyDescent="0.25">
      <c r="A3" s="63"/>
      <c r="B3" s="3"/>
      <c r="C3" s="3" t="s">
        <v>8</v>
      </c>
      <c r="D3" s="3">
        <v>128</v>
      </c>
      <c r="E3" s="3">
        <v>1024</v>
      </c>
      <c r="F3" s="5" t="s">
        <v>199</v>
      </c>
      <c r="G3" s="5"/>
      <c r="K3" s="11"/>
      <c r="L3" s="11"/>
      <c r="M3" s="32" t="s">
        <v>204</v>
      </c>
      <c r="N3" s="33"/>
      <c r="O3" s="33"/>
      <c r="P3" s="33" t="s">
        <v>215</v>
      </c>
      <c r="Q3" s="11"/>
    </row>
    <row r="4" spans="1:17" ht="16.5" x14ac:dyDescent="0.25">
      <c r="A4" s="64"/>
      <c r="B4" s="3"/>
      <c r="C4" s="6" t="s">
        <v>9</v>
      </c>
      <c r="D4" s="6"/>
      <c r="E4" s="6"/>
      <c r="F4" s="5"/>
      <c r="G4" s="5"/>
      <c r="K4" s="11"/>
      <c r="L4" s="11"/>
      <c r="M4" s="32" t="s">
        <v>205</v>
      </c>
      <c r="N4" s="33"/>
      <c r="O4" s="33"/>
      <c r="P4" s="33" t="s">
        <v>215</v>
      </c>
      <c r="Q4" s="11"/>
    </row>
    <row r="5" spans="1:17" ht="16.5" x14ac:dyDescent="0.25">
      <c r="K5" s="11"/>
      <c r="L5" s="11"/>
      <c r="M5" s="32" t="s">
        <v>206</v>
      </c>
      <c r="N5" s="33"/>
      <c r="O5" s="33"/>
      <c r="P5" s="33" t="s">
        <v>215</v>
      </c>
      <c r="Q5" s="11"/>
    </row>
    <row r="6" spans="1:17" ht="16.5" x14ac:dyDescent="0.25">
      <c r="K6" s="11"/>
      <c r="L6" s="11"/>
      <c r="M6" s="32" t="s">
        <v>207</v>
      </c>
      <c r="N6" s="33"/>
      <c r="O6" s="33"/>
      <c r="P6" s="33" t="s">
        <v>215</v>
      </c>
      <c r="Q6" s="11"/>
    </row>
    <row r="7" spans="1:17" ht="31.5" x14ac:dyDescent="0.25">
      <c r="A7" s="7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10</v>
      </c>
      <c r="K7" s="11"/>
      <c r="L7" s="11"/>
      <c r="M7" s="32" t="s">
        <v>208</v>
      </c>
      <c r="N7" s="33"/>
      <c r="O7" s="33"/>
      <c r="P7" s="33" t="s">
        <v>215</v>
      </c>
      <c r="Q7" s="11"/>
    </row>
    <row r="8" spans="1:17" ht="16.5" x14ac:dyDescent="0.25">
      <c r="A8" s="8"/>
      <c r="B8" s="8"/>
      <c r="C8" s="32" t="s">
        <v>201</v>
      </c>
      <c r="D8" s="3" t="s">
        <v>37</v>
      </c>
      <c r="E8" s="10" t="s">
        <v>14</v>
      </c>
      <c r="F8" s="3"/>
      <c r="G8" s="10" t="s">
        <v>14</v>
      </c>
      <c r="K8" s="11"/>
      <c r="L8" s="11"/>
      <c r="M8" s="32" t="s">
        <v>209</v>
      </c>
      <c r="N8" s="33"/>
      <c r="O8" s="33"/>
      <c r="P8" s="33" t="s">
        <v>215</v>
      </c>
      <c r="Q8" s="11"/>
    </row>
    <row r="9" spans="1:17" ht="16.5" x14ac:dyDescent="0.25">
      <c r="A9" s="8"/>
      <c r="B9" s="8"/>
      <c r="C9" s="32" t="s">
        <v>202</v>
      </c>
      <c r="D9" s="3" t="s">
        <v>37</v>
      </c>
      <c r="E9" s="10" t="s">
        <v>14</v>
      </c>
      <c r="F9" s="3"/>
      <c r="G9" s="10" t="s">
        <v>14</v>
      </c>
      <c r="K9" s="11"/>
      <c r="L9" s="11"/>
      <c r="M9" s="32" t="s">
        <v>210</v>
      </c>
      <c r="N9" s="33"/>
      <c r="O9" s="33"/>
      <c r="P9" s="33" t="s">
        <v>215</v>
      </c>
      <c r="Q9" s="11"/>
    </row>
    <row r="10" spans="1:17" ht="16.5" x14ac:dyDescent="0.25">
      <c r="K10" s="11"/>
      <c r="L10" s="11"/>
      <c r="M10" s="32" t="s">
        <v>211</v>
      </c>
      <c r="N10" s="33"/>
      <c r="O10" s="33"/>
      <c r="P10" s="33" t="s">
        <v>215</v>
      </c>
      <c r="Q10" s="11"/>
    </row>
    <row r="11" spans="1:17" ht="16.5" x14ac:dyDescent="0.25">
      <c r="K11" s="11"/>
      <c r="L11" s="11"/>
      <c r="M11" s="32" t="s">
        <v>212</v>
      </c>
      <c r="N11" s="33"/>
      <c r="O11" s="33"/>
      <c r="P11" s="33" t="s">
        <v>215</v>
      </c>
      <c r="Q11" s="11"/>
    </row>
    <row r="12" spans="1:17" ht="16.5" x14ac:dyDescent="0.25">
      <c r="K12" s="11"/>
      <c r="L12" s="11"/>
      <c r="M12" s="32" t="s">
        <v>213</v>
      </c>
      <c r="N12" s="33"/>
      <c r="O12" s="33"/>
      <c r="P12" s="33" t="s">
        <v>215</v>
      </c>
      <c r="Q12" s="11"/>
    </row>
    <row r="13" spans="1:17" ht="16.5" x14ac:dyDescent="0.25">
      <c r="K13" s="11"/>
      <c r="L13" s="11"/>
      <c r="M13" s="32" t="s">
        <v>214</v>
      </c>
      <c r="N13" s="33"/>
      <c r="O13" s="33"/>
      <c r="P13" s="33" t="s">
        <v>215</v>
      </c>
      <c r="Q13" s="11"/>
    </row>
    <row r="14" spans="1:17" ht="16.5" x14ac:dyDescent="0.25">
      <c r="K14" s="11"/>
      <c r="L14" s="11"/>
      <c r="M14" s="32" t="s">
        <v>201</v>
      </c>
      <c r="N14" s="33">
        <v>64</v>
      </c>
      <c r="O14" s="33">
        <v>512</v>
      </c>
      <c r="P14" s="34" t="s">
        <v>197</v>
      </c>
      <c r="Q14" s="11"/>
    </row>
    <row r="15" spans="1:17" ht="16.5" x14ac:dyDescent="0.25">
      <c r="K15" s="11"/>
      <c r="L15" s="11"/>
      <c r="M15" s="32" t="s">
        <v>202</v>
      </c>
      <c r="N15" s="33">
        <v>64</v>
      </c>
      <c r="O15" s="33">
        <v>512</v>
      </c>
      <c r="P15" s="34" t="s">
        <v>197</v>
      </c>
      <c r="Q15" s="11"/>
    </row>
  </sheetData>
  <mergeCells count="1">
    <mergeCell ref="A2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H12" sqref="H12"/>
    </sheetView>
  </sheetViews>
  <sheetFormatPr defaultRowHeight="15" x14ac:dyDescent="0.25"/>
  <cols>
    <col min="3" max="3" width="19.7109375" bestFit="1" customWidth="1"/>
  </cols>
  <sheetData>
    <row r="1" spans="1:7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x14ac:dyDescent="0.25">
      <c r="A2" s="62">
        <v>1</v>
      </c>
      <c r="B2" s="3"/>
      <c r="C2" s="4" t="s">
        <v>216</v>
      </c>
      <c r="D2" s="3">
        <v>128</v>
      </c>
      <c r="E2" s="3">
        <v>512</v>
      </c>
      <c r="F2" s="5" t="s">
        <v>217</v>
      </c>
      <c r="G2" s="5"/>
    </row>
    <row r="3" spans="1:7" x14ac:dyDescent="0.25">
      <c r="A3" s="63"/>
      <c r="B3" s="3"/>
      <c r="C3" s="3" t="s">
        <v>8</v>
      </c>
      <c r="D3" s="3">
        <v>128</v>
      </c>
      <c r="E3" s="3">
        <v>512</v>
      </c>
      <c r="F3" s="5" t="s">
        <v>220</v>
      </c>
      <c r="G3" s="5"/>
    </row>
    <row r="4" spans="1:7" x14ac:dyDescent="0.25">
      <c r="A4" s="64"/>
      <c r="B4" s="3"/>
      <c r="C4" s="6" t="s">
        <v>9</v>
      </c>
      <c r="D4" s="6"/>
      <c r="E4" s="6"/>
      <c r="F4" s="5">
        <v>3000</v>
      </c>
      <c r="G4" s="5"/>
    </row>
    <row r="7" spans="1:7" ht="31.5" x14ac:dyDescent="0.25">
      <c r="A7" s="7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10</v>
      </c>
    </row>
    <row r="8" spans="1:7" ht="16.5" x14ac:dyDescent="0.25">
      <c r="A8" s="8"/>
      <c r="B8" s="8"/>
      <c r="C8" s="32" t="s">
        <v>218</v>
      </c>
      <c r="D8" s="3" t="s">
        <v>37</v>
      </c>
      <c r="E8" s="10" t="s">
        <v>14</v>
      </c>
      <c r="F8" s="3"/>
      <c r="G8" s="10" t="s">
        <v>14</v>
      </c>
    </row>
    <row r="9" spans="1:7" ht="16.5" x14ac:dyDescent="0.25">
      <c r="A9" s="8"/>
      <c r="B9" s="8"/>
      <c r="C9" s="32" t="s">
        <v>219</v>
      </c>
      <c r="D9" s="3" t="s">
        <v>37</v>
      </c>
      <c r="E9" s="10" t="s">
        <v>14</v>
      </c>
      <c r="F9" s="3"/>
      <c r="G9" s="10" t="s">
        <v>14</v>
      </c>
    </row>
  </sheetData>
  <mergeCells count="1">
    <mergeCell ref="A2: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selection activeCell="I4" sqref="I4"/>
    </sheetView>
  </sheetViews>
  <sheetFormatPr defaultRowHeight="15" x14ac:dyDescent="0.25"/>
  <cols>
    <col min="3" max="3" width="19.7109375" bestFit="1" customWidth="1"/>
    <col min="7" max="7" width="13.5703125" bestFit="1" customWidth="1"/>
    <col min="13" max="13" width="19.7109375" bestFit="1" customWidth="1"/>
    <col min="16" max="16" width="10.5703125" bestFit="1" customWidth="1"/>
  </cols>
  <sheetData>
    <row r="1" spans="1:17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2" t="s">
        <v>5</v>
      </c>
      <c r="Q1" s="1" t="s">
        <v>6</v>
      </c>
    </row>
    <row r="2" spans="1:17" ht="16.5" x14ac:dyDescent="0.25">
      <c r="A2" s="62">
        <v>1</v>
      </c>
      <c r="B2" s="3"/>
      <c r="C2" s="4" t="s">
        <v>198</v>
      </c>
      <c r="D2" s="3">
        <v>128</v>
      </c>
      <c r="E2" s="3">
        <v>1024</v>
      </c>
      <c r="F2" s="5" t="s">
        <v>424</v>
      </c>
      <c r="G2" s="5"/>
      <c r="K2" s="11"/>
      <c r="L2" s="11"/>
      <c r="M2" s="32" t="s">
        <v>203</v>
      </c>
      <c r="N2" s="33"/>
      <c r="O2" s="33"/>
      <c r="P2" s="33" t="s">
        <v>215</v>
      </c>
      <c r="Q2" s="11"/>
    </row>
    <row r="3" spans="1:17" ht="16.5" x14ac:dyDescent="0.25">
      <c r="A3" s="63"/>
      <c r="B3" s="3"/>
      <c r="C3" s="3" t="s">
        <v>8</v>
      </c>
      <c r="D3" s="3">
        <v>128</v>
      </c>
      <c r="E3" s="3">
        <v>1024</v>
      </c>
      <c r="F3" s="5" t="s">
        <v>425</v>
      </c>
      <c r="G3" s="5" t="s">
        <v>427</v>
      </c>
      <c r="K3" s="11"/>
      <c r="L3" s="11"/>
      <c r="M3" s="32" t="s">
        <v>201</v>
      </c>
      <c r="N3" s="33">
        <v>64</v>
      </c>
      <c r="O3" s="33">
        <v>512</v>
      </c>
      <c r="P3" s="33" t="s">
        <v>221</v>
      </c>
      <c r="Q3" s="11"/>
    </row>
    <row r="4" spans="1:17" ht="16.5" x14ac:dyDescent="0.25">
      <c r="A4" s="64"/>
      <c r="B4" s="3"/>
      <c r="C4" s="6" t="s">
        <v>9</v>
      </c>
      <c r="D4" s="6"/>
      <c r="E4" s="6"/>
      <c r="F4" s="5" t="s">
        <v>426</v>
      </c>
      <c r="G4" s="5"/>
      <c r="K4" s="11"/>
      <c r="L4" s="11"/>
      <c r="M4" s="32" t="s">
        <v>202</v>
      </c>
      <c r="N4" s="33">
        <v>64</v>
      </c>
      <c r="O4" s="33">
        <v>512</v>
      </c>
      <c r="P4" s="33" t="s">
        <v>221</v>
      </c>
      <c r="Q4" s="11"/>
    </row>
    <row r="7" spans="1:17" ht="31.5" x14ac:dyDescent="0.25">
      <c r="A7" s="7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10</v>
      </c>
    </row>
    <row r="8" spans="1:17" ht="16.5" x14ac:dyDescent="0.25">
      <c r="A8" s="8"/>
      <c r="B8" s="8"/>
      <c r="C8" s="32" t="s">
        <v>201</v>
      </c>
      <c r="D8" s="3" t="s">
        <v>37</v>
      </c>
      <c r="E8" s="10" t="s">
        <v>14</v>
      </c>
      <c r="F8" s="3"/>
      <c r="G8" s="10" t="s">
        <v>14</v>
      </c>
    </row>
    <row r="9" spans="1:17" ht="16.5" x14ac:dyDescent="0.25">
      <c r="A9" s="8"/>
      <c r="B9" s="8"/>
      <c r="C9" s="32" t="s">
        <v>202</v>
      </c>
      <c r="D9" s="3" t="s">
        <v>37</v>
      </c>
      <c r="E9" s="10" t="s">
        <v>14</v>
      </c>
      <c r="F9" s="3"/>
      <c r="G9" s="10" t="s">
        <v>14</v>
      </c>
    </row>
  </sheetData>
  <mergeCells count="1">
    <mergeCell ref="A2: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workbookViewId="0">
      <selection activeCell="T26" sqref="T26"/>
    </sheetView>
  </sheetViews>
  <sheetFormatPr defaultRowHeight="15" x14ac:dyDescent="0.25"/>
  <cols>
    <col min="3" max="3" width="30.85546875" bestFit="1" customWidth="1"/>
    <col min="13" max="13" width="30.85546875" bestFit="1" customWidth="1"/>
  </cols>
  <sheetData>
    <row r="1" spans="1:17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2" t="s">
        <v>5</v>
      </c>
      <c r="Q1" s="1" t="s">
        <v>6</v>
      </c>
    </row>
    <row r="2" spans="1:17" ht="15.75" x14ac:dyDescent="0.25">
      <c r="A2" s="62">
        <v>1</v>
      </c>
      <c r="B2" s="3"/>
      <c r="C2" s="4" t="s">
        <v>249</v>
      </c>
      <c r="D2" s="3">
        <v>960</v>
      </c>
      <c r="E2" s="3">
        <v>5568</v>
      </c>
      <c r="F2" s="5" t="s">
        <v>250</v>
      </c>
      <c r="G2" s="5"/>
      <c r="K2" s="11"/>
      <c r="L2" s="11"/>
      <c r="M2" s="35" t="s">
        <v>253</v>
      </c>
      <c r="N2" s="38">
        <v>80</v>
      </c>
      <c r="O2" s="39">
        <v>512</v>
      </c>
      <c r="P2" s="38">
        <v>890</v>
      </c>
      <c r="Q2" s="11"/>
    </row>
    <row r="3" spans="1:17" ht="15.75" x14ac:dyDescent="0.25">
      <c r="A3" s="63"/>
      <c r="B3" s="3"/>
      <c r="C3" s="3" t="s">
        <v>8</v>
      </c>
      <c r="D3" s="3">
        <v>1862</v>
      </c>
      <c r="E3" s="3">
        <v>3877</v>
      </c>
      <c r="F3" s="5" t="s">
        <v>251</v>
      </c>
      <c r="G3" s="5"/>
      <c r="K3" s="11"/>
      <c r="L3" s="11"/>
      <c r="M3" s="35" t="s">
        <v>254</v>
      </c>
      <c r="N3" s="38">
        <v>80</v>
      </c>
      <c r="O3" s="39">
        <v>512</v>
      </c>
      <c r="P3" s="38">
        <v>890</v>
      </c>
      <c r="Q3" s="11"/>
    </row>
    <row r="4" spans="1:17" ht="15.75" x14ac:dyDescent="0.25">
      <c r="A4" s="64"/>
      <c r="B4" s="3"/>
      <c r="C4" s="6" t="s">
        <v>9</v>
      </c>
      <c r="D4" s="6"/>
      <c r="E4" s="6"/>
      <c r="F4" s="5" t="s">
        <v>252</v>
      </c>
      <c r="G4" s="5"/>
      <c r="K4" s="11"/>
      <c r="L4" s="11"/>
      <c r="M4" s="35" t="s">
        <v>255</v>
      </c>
      <c r="N4" s="38">
        <v>80</v>
      </c>
      <c r="O4" s="39">
        <v>512</v>
      </c>
      <c r="P4" s="38">
        <v>890</v>
      </c>
      <c r="Q4" s="11"/>
    </row>
    <row r="5" spans="1:17" ht="15.75" x14ac:dyDescent="0.25">
      <c r="K5" s="11"/>
      <c r="L5" s="11"/>
      <c r="M5" s="35" t="s">
        <v>256</v>
      </c>
      <c r="N5" s="38">
        <v>80</v>
      </c>
      <c r="O5" s="39">
        <v>512</v>
      </c>
      <c r="P5" s="38">
        <v>890</v>
      </c>
      <c r="Q5" s="11"/>
    </row>
    <row r="6" spans="1:17" ht="31.5" x14ac:dyDescent="0.25">
      <c r="A6" s="37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10</v>
      </c>
      <c r="K6" s="11"/>
      <c r="L6" s="11"/>
      <c r="M6" s="35" t="s">
        <v>257</v>
      </c>
      <c r="N6" s="38">
        <v>80</v>
      </c>
      <c r="O6" s="39">
        <v>512</v>
      </c>
      <c r="P6" s="38">
        <v>890</v>
      </c>
      <c r="Q6" s="11"/>
    </row>
    <row r="7" spans="1:17" ht="15.75" x14ac:dyDescent="0.25">
      <c r="A7" s="11"/>
      <c r="B7" s="11"/>
      <c r="C7" s="35" t="s">
        <v>253</v>
      </c>
      <c r="D7" s="3" t="s">
        <v>37</v>
      </c>
      <c r="E7" s="10" t="s">
        <v>14</v>
      </c>
      <c r="F7" s="3"/>
      <c r="G7" s="10" t="s">
        <v>14</v>
      </c>
      <c r="K7" s="11"/>
      <c r="L7" s="11"/>
      <c r="M7" s="35" t="s">
        <v>258</v>
      </c>
      <c r="N7" s="38">
        <v>80</v>
      </c>
      <c r="O7" s="39">
        <v>448</v>
      </c>
      <c r="P7" s="38">
        <v>890</v>
      </c>
      <c r="Q7" s="11"/>
    </row>
    <row r="8" spans="1:17" ht="15.75" x14ac:dyDescent="0.25">
      <c r="A8" s="11"/>
      <c r="B8" s="11"/>
      <c r="C8" s="35" t="s">
        <v>254</v>
      </c>
      <c r="D8" s="3" t="s">
        <v>37</v>
      </c>
      <c r="E8" s="10" t="s">
        <v>14</v>
      </c>
      <c r="F8" s="3"/>
      <c r="G8" s="10" t="s">
        <v>14</v>
      </c>
      <c r="K8" s="11"/>
      <c r="L8" s="11"/>
      <c r="M8" s="35" t="s">
        <v>259</v>
      </c>
      <c r="N8" s="38">
        <v>80</v>
      </c>
      <c r="O8" s="39">
        <v>448</v>
      </c>
      <c r="P8" s="38">
        <v>890</v>
      </c>
      <c r="Q8" s="11"/>
    </row>
    <row r="9" spans="1:17" ht="15.75" x14ac:dyDescent="0.25">
      <c r="A9" s="11"/>
      <c r="B9" s="11"/>
      <c r="C9" s="35" t="s">
        <v>255</v>
      </c>
      <c r="D9" s="3" t="s">
        <v>37</v>
      </c>
      <c r="E9" s="10" t="s">
        <v>14</v>
      </c>
      <c r="F9" s="11"/>
      <c r="G9" s="10" t="s">
        <v>14</v>
      </c>
      <c r="K9" s="11"/>
      <c r="L9" s="11"/>
      <c r="M9" s="35" t="s">
        <v>260</v>
      </c>
      <c r="N9" s="38">
        <v>80</v>
      </c>
      <c r="O9" s="39">
        <v>448</v>
      </c>
      <c r="P9" s="38">
        <v>890</v>
      </c>
      <c r="Q9" s="11"/>
    </row>
    <row r="10" spans="1:17" ht="15.75" x14ac:dyDescent="0.25">
      <c r="A10" s="11"/>
      <c r="B10" s="11"/>
      <c r="C10" s="35" t="s">
        <v>256</v>
      </c>
      <c r="D10" s="3" t="s">
        <v>37</v>
      </c>
      <c r="E10" s="10" t="s">
        <v>14</v>
      </c>
      <c r="F10" s="11"/>
      <c r="G10" s="10" t="s">
        <v>14</v>
      </c>
      <c r="K10" s="11"/>
      <c r="L10" s="11"/>
      <c r="M10" s="36" t="s">
        <v>261</v>
      </c>
      <c r="N10" s="39">
        <v>80</v>
      </c>
      <c r="O10" s="39">
        <v>448</v>
      </c>
      <c r="P10" s="38">
        <v>890</v>
      </c>
      <c r="Q10" s="11"/>
    </row>
    <row r="11" spans="1:17" ht="15.75" x14ac:dyDescent="0.25">
      <c r="A11" s="11"/>
      <c r="B11" s="11"/>
      <c r="C11" s="35" t="s">
        <v>257</v>
      </c>
      <c r="D11" s="3" t="s">
        <v>37</v>
      </c>
      <c r="E11" s="10" t="s">
        <v>14</v>
      </c>
      <c r="F11" s="11"/>
      <c r="G11" s="10" t="s">
        <v>14</v>
      </c>
      <c r="K11" s="11"/>
      <c r="L11" s="11"/>
      <c r="M11" s="36" t="s">
        <v>262</v>
      </c>
      <c r="N11" s="39">
        <v>80</v>
      </c>
      <c r="O11" s="39">
        <v>448</v>
      </c>
      <c r="P11" s="38">
        <v>890</v>
      </c>
      <c r="Q11" s="11"/>
    </row>
    <row r="12" spans="1:17" ht="15.75" x14ac:dyDescent="0.25">
      <c r="A12" s="11"/>
      <c r="B12" s="11"/>
      <c r="C12" s="35" t="s">
        <v>258</v>
      </c>
      <c r="D12" s="3" t="s">
        <v>37</v>
      </c>
      <c r="E12" s="10" t="s">
        <v>14</v>
      </c>
      <c r="F12" s="11"/>
      <c r="G12" s="10" t="s">
        <v>14</v>
      </c>
      <c r="K12" s="11"/>
      <c r="L12" s="11"/>
      <c r="M12" s="35" t="s">
        <v>263</v>
      </c>
      <c r="N12" s="39">
        <v>80</v>
      </c>
      <c r="O12" s="39">
        <v>384</v>
      </c>
      <c r="P12" s="38">
        <v>890</v>
      </c>
      <c r="Q12" s="11"/>
    </row>
    <row r="13" spans="1:17" ht="15.75" x14ac:dyDescent="0.25">
      <c r="A13" s="11"/>
      <c r="B13" s="11"/>
      <c r="C13" s="35" t="s">
        <v>259</v>
      </c>
      <c r="D13" s="3" t="s">
        <v>37</v>
      </c>
      <c r="E13" s="10" t="s">
        <v>14</v>
      </c>
      <c r="F13" s="11"/>
      <c r="G13" s="10" t="s">
        <v>14</v>
      </c>
      <c r="K13" s="11"/>
      <c r="L13" s="11"/>
      <c r="M13" s="35" t="s">
        <v>264</v>
      </c>
      <c r="N13" s="39">
        <v>80</v>
      </c>
      <c r="O13" s="39">
        <v>384</v>
      </c>
      <c r="P13" s="38">
        <v>890</v>
      </c>
      <c r="Q13" s="11"/>
    </row>
    <row r="14" spans="1:17" ht="15.75" x14ac:dyDescent="0.25">
      <c r="A14" s="11"/>
      <c r="B14" s="11"/>
      <c r="C14" s="35" t="s">
        <v>260</v>
      </c>
      <c r="D14" s="3" t="s">
        <v>37</v>
      </c>
      <c r="E14" s="10" t="s">
        <v>14</v>
      </c>
      <c r="F14" s="11"/>
      <c r="G14" s="10" t="s">
        <v>14</v>
      </c>
    </row>
    <row r="15" spans="1:17" ht="15.75" x14ac:dyDescent="0.25">
      <c r="A15" s="11"/>
      <c r="B15" s="11"/>
      <c r="C15" s="36" t="s">
        <v>261</v>
      </c>
      <c r="D15" s="3" t="s">
        <v>37</v>
      </c>
      <c r="E15" s="10" t="s">
        <v>14</v>
      </c>
      <c r="F15" s="11"/>
      <c r="G15" s="10" t="s">
        <v>14</v>
      </c>
    </row>
    <row r="16" spans="1:17" ht="15.75" x14ac:dyDescent="0.25">
      <c r="A16" s="11"/>
      <c r="B16" s="11"/>
      <c r="C16" s="36" t="s">
        <v>262</v>
      </c>
      <c r="D16" s="3" t="s">
        <v>37</v>
      </c>
      <c r="E16" s="10" t="s">
        <v>14</v>
      </c>
      <c r="F16" s="11"/>
      <c r="G16" s="10" t="s">
        <v>14</v>
      </c>
    </row>
    <row r="17" spans="1:7" ht="15.75" x14ac:dyDescent="0.25">
      <c r="A17" s="11"/>
      <c r="B17" s="11"/>
      <c r="C17" s="35" t="s">
        <v>263</v>
      </c>
      <c r="D17" s="3" t="s">
        <v>37</v>
      </c>
      <c r="E17" s="10" t="s">
        <v>14</v>
      </c>
      <c r="F17" s="11"/>
      <c r="G17" s="10" t="s">
        <v>14</v>
      </c>
    </row>
    <row r="18" spans="1:7" ht="15.75" x14ac:dyDescent="0.25">
      <c r="A18" s="11"/>
      <c r="B18" s="11"/>
      <c r="C18" s="35" t="s">
        <v>264</v>
      </c>
      <c r="D18" s="3" t="s">
        <v>37</v>
      </c>
      <c r="E18" s="10" t="s">
        <v>14</v>
      </c>
      <c r="F18" s="11"/>
      <c r="G18" s="10" t="s">
        <v>14</v>
      </c>
    </row>
  </sheetData>
  <mergeCells count="1">
    <mergeCell ref="A2: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H16" sqref="H16"/>
    </sheetView>
  </sheetViews>
  <sheetFormatPr defaultRowHeight="15" x14ac:dyDescent="0.25"/>
  <cols>
    <col min="3" max="3" width="19.7109375" bestFit="1" customWidth="1"/>
    <col min="12" max="12" width="13.7109375" bestFit="1" customWidth="1"/>
  </cols>
  <sheetData>
    <row r="1" spans="1:16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2" t="s">
        <v>5</v>
      </c>
      <c r="P1" s="1" t="s">
        <v>6</v>
      </c>
    </row>
    <row r="2" spans="1:16" x14ac:dyDescent="0.25">
      <c r="A2" s="62">
        <v>1</v>
      </c>
      <c r="B2" s="3"/>
      <c r="C2" s="4" t="s">
        <v>222</v>
      </c>
      <c r="D2" s="3">
        <v>288</v>
      </c>
      <c r="E2" s="3">
        <v>2304</v>
      </c>
      <c r="F2" s="5" t="s">
        <v>429</v>
      </c>
      <c r="G2" s="5"/>
      <c r="J2" s="11"/>
      <c r="K2" s="11"/>
      <c r="L2" s="15" t="s">
        <v>223</v>
      </c>
      <c r="M2" s="16">
        <v>96</v>
      </c>
      <c r="N2" s="16">
        <v>768</v>
      </c>
      <c r="O2" s="3" t="s">
        <v>232</v>
      </c>
      <c r="P2" s="11"/>
    </row>
    <row r="3" spans="1:16" x14ac:dyDescent="0.25">
      <c r="A3" s="63"/>
      <c r="B3" s="3"/>
      <c r="C3" s="3" t="s">
        <v>8</v>
      </c>
      <c r="D3" s="3">
        <v>288</v>
      </c>
      <c r="E3" s="3">
        <v>2304</v>
      </c>
      <c r="F3" s="5"/>
      <c r="G3" s="5"/>
      <c r="J3" s="11"/>
      <c r="K3" s="11"/>
      <c r="L3" s="15" t="s">
        <v>224</v>
      </c>
      <c r="M3" s="16">
        <v>96</v>
      </c>
      <c r="N3" s="16">
        <v>768</v>
      </c>
      <c r="O3" s="3" t="s">
        <v>232</v>
      </c>
      <c r="P3" s="11"/>
    </row>
    <row r="4" spans="1:16" x14ac:dyDescent="0.25">
      <c r="A4" s="64"/>
      <c r="B4" s="3"/>
      <c r="C4" s="6" t="s">
        <v>9</v>
      </c>
      <c r="D4" s="6"/>
      <c r="E4" s="6"/>
      <c r="F4" s="5"/>
      <c r="G4" s="5"/>
      <c r="J4" s="11"/>
      <c r="K4" s="11"/>
      <c r="L4" s="15" t="s">
        <v>225</v>
      </c>
      <c r="M4" s="16">
        <v>96</v>
      </c>
      <c r="N4" s="16">
        <v>768</v>
      </c>
      <c r="O4" s="3" t="s">
        <v>232</v>
      </c>
      <c r="P4" s="11"/>
    </row>
    <row r="5" spans="1:16" x14ac:dyDescent="0.25">
      <c r="J5" s="11"/>
      <c r="K5" s="11"/>
      <c r="L5" s="15" t="s">
        <v>227</v>
      </c>
      <c r="M5" s="16">
        <v>64</v>
      </c>
      <c r="N5" s="16">
        <v>192</v>
      </c>
      <c r="O5" s="3" t="s">
        <v>231</v>
      </c>
      <c r="P5" s="11"/>
    </row>
    <row r="6" spans="1:16" x14ac:dyDescent="0.25">
      <c r="J6" s="11"/>
      <c r="K6" s="11"/>
      <c r="L6" s="15" t="s">
        <v>228</v>
      </c>
      <c r="M6" s="16">
        <v>64</v>
      </c>
      <c r="N6" s="16">
        <v>192</v>
      </c>
      <c r="O6" s="3" t="s">
        <v>231</v>
      </c>
      <c r="P6" s="11"/>
    </row>
    <row r="7" spans="1:16" ht="31.5" x14ac:dyDescent="0.25">
      <c r="A7" s="7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10</v>
      </c>
      <c r="J7" s="11"/>
      <c r="K7" s="11"/>
      <c r="L7" s="15" t="s">
        <v>229</v>
      </c>
      <c r="M7" s="16">
        <v>64</v>
      </c>
      <c r="N7" s="16">
        <v>192</v>
      </c>
      <c r="O7" s="3" t="s">
        <v>231</v>
      </c>
      <c r="P7" s="11"/>
    </row>
    <row r="8" spans="1:16" x14ac:dyDescent="0.25">
      <c r="A8" s="8"/>
      <c r="B8" s="8"/>
      <c r="C8" s="15" t="s">
        <v>223</v>
      </c>
      <c r="D8" s="3" t="s">
        <v>226</v>
      </c>
      <c r="E8" s="10" t="s">
        <v>106</v>
      </c>
      <c r="F8" s="10" t="s">
        <v>14</v>
      </c>
      <c r="G8" s="10"/>
      <c r="J8" s="11"/>
      <c r="K8" s="11"/>
      <c r="L8" s="15" t="s">
        <v>230</v>
      </c>
      <c r="M8" s="16">
        <v>64</v>
      </c>
      <c r="N8" s="16">
        <v>192</v>
      </c>
      <c r="O8" s="3" t="s">
        <v>231</v>
      </c>
      <c r="P8" s="11"/>
    </row>
    <row r="9" spans="1:16" x14ac:dyDescent="0.25">
      <c r="A9" s="8"/>
      <c r="B9" s="8"/>
      <c r="C9" s="15" t="s">
        <v>224</v>
      </c>
      <c r="D9" s="3" t="s">
        <v>226</v>
      </c>
      <c r="E9" s="10" t="s">
        <v>106</v>
      </c>
      <c r="F9" s="10" t="s">
        <v>14</v>
      </c>
      <c r="G9" s="10"/>
    </row>
    <row r="10" spans="1:16" x14ac:dyDescent="0.25">
      <c r="A10" s="11"/>
      <c r="B10" s="11"/>
      <c r="C10" s="15" t="s">
        <v>225</v>
      </c>
      <c r="D10" s="3" t="s">
        <v>226</v>
      </c>
      <c r="E10" s="10" t="s">
        <v>106</v>
      </c>
      <c r="F10" s="10" t="s">
        <v>14</v>
      </c>
      <c r="G10" s="11"/>
    </row>
    <row r="15" spans="1:16" ht="31.5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2" t="s">
        <v>5</v>
      </c>
      <c r="G15" s="1" t="s">
        <v>6</v>
      </c>
      <c r="J15" s="1" t="s">
        <v>0</v>
      </c>
      <c r="K15" s="1" t="s">
        <v>1</v>
      </c>
      <c r="L15" s="1" t="s">
        <v>2</v>
      </c>
      <c r="M15" s="1" t="s">
        <v>3</v>
      </c>
      <c r="N15" s="1" t="s">
        <v>4</v>
      </c>
      <c r="O15" s="2" t="s">
        <v>5</v>
      </c>
      <c r="P15" s="1" t="s">
        <v>6</v>
      </c>
    </row>
    <row r="16" spans="1:16" x14ac:dyDescent="0.25">
      <c r="A16" s="62">
        <v>1</v>
      </c>
      <c r="B16" s="3"/>
      <c r="C16" s="4" t="s">
        <v>233</v>
      </c>
      <c r="D16" s="3">
        <v>768</v>
      </c>
      <c r="E16" s="3">
        <v>3072</v>
      </c>
      <c r="F16" s="5" t="s">
        <v>430</v>
      </c>
      <c r="G16" s="5"/>
      <c r="H16" t="s">
        <v>431</v>
      </c>
      <c r="J16" s="11"/>
      <c r="K16" s="11"/>
      <c r="L16" s="15" t="s">
        <v>234</v>
      </c>
      <c r="M16" s="16">
        <v>384</v>
      </c>
      <c r="N16" s="16">
        <v>1536</v>
      </c>
      <c r="O16" s="3" t="s">
        <v>241</v>
      </c>
      <c r="P16" s="11"/>
    </row>
    <row r="17" spans="1:16" x14ac:dyDescent="0.25">
      <c r="A17" s="63"/>
      <c r="B17" s="3"/>
      <c r="C17" s="3" t="s">
        <v>8</v>
      </c>
      <c r="D17" s="3">
        <v>768</v>
      </c>
      <c r="E17" s="3">
        <v>3072</v>
      </c>
      <c r="F17" s="5"/>
      <c r="G17" s="5"/>
      <c r="J17" s="11"/>
      <c r="K17" s="11"/>
      <c r="L17" s="15" t="s">
        <v>235</v>
      </c>
      <c r="M17" s="16">
        <v>384</v>
      </c>
      <c r="N17" s="16">
        <v>1536</v>
      </c>
      <c r="O17" s="3" t="s">
        <v>241</v>
      </c>
      <c r="P17" s="11"/>
    </row>
    <row r="18" spans="1:16" x14ac:dyDescent="0.25">
      <c r="A18" s="64"/>
      <c r="B18" s="3"/>
      <c r="C18" s="6" t="s">
        <v>9</v>
      </c>
      <c r="D18" s="6"/>
      <c r="E18" s="6"/>
      <c r="F18" s="5"/>
      <c r="G18" s="5"/>
      <c r="J18" s="11"/>
      <c r="K18" s="11"/>
      <c r="L18" s="15" t="s">
        <v>236</v>
      </c>
      <c r="M18" s="16">
        <v>128</v>
      </c>
      <c r="N18" s="16">
        <v>1536</v>
      </c>
      <c r="O18" s="3" t="s">
        <v>215</v>
      </c>
      <c r="P18" s="11"/>
    </row>
    <row r="19" spans="1:16" x14ac:dyDescent="0.25">
      <c r="J19" s="11"/>
      <c r="K19" s="11"/>
      <c r="L19" s="15" t="s">
        <v>237</v>
      </c>
      <c r="M19" s="16">
        <v>128</v>
      </c>
      <c r="N19" s="16">
        <v>1536</v>
      </c>
      <c r="O19" s="3" t="s">
        <v>215</v>
      </c>
      <c r="P19" s="11"/>
    </row>
    <row r="20" spans="1:16" x14ac:dyDescent="0.25">
      <c r="J20" s="11"/>
      <c r="K20" s="11"/>
      <c r="L20" s="15" t="s">
        <v>238</v>
      </c>
      <c r="M20" s="16">
        <v>128</v>
      </c>
      <c r="N20" s="16">
        <v>1536</v>
      </c>
      <c r="O20" s="3" t="s">
        <v>215</v>
      </c>
      <c r="P20" s="11"/>
    </row>
    <row r="21" spans="1:16" ht="31.5" x14ac:dyDescent="0.25">
      <c r="A21" s="7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10</v>
      </c>
      <c r="J21" s="11"/>
      <c r="K21" s="11"/>
      <c r="L21" s="15" t="s">
        <v>239</v>
      </c>
      <c r="M21" s="16">
        <v>128</v>
      </c>
      <c r="N21" s="16">
        <v>1536</v>
      </c>
      <c r="O21" s="3" t="s">
        <v>215</v>
      </c>
      <c r="P21" s="11"/>
    </row>
    <row r="22" spans="1:16" x14ac:dyDescent="0.25">
      <c r="A22" s="8"/>
      <c r="B22" s="8"/>
      <c r="C22" s="15" t="s">
        <v>234</v>
      </c>
      <c r="D22" s="3" t="s">
        <v>106</v>
      </c>
      <c r="E22" s="10" t="s">
        <v>14</v>
      </c>
      <c r="F22" s="10" t="s">
        <v>14</v>
      </c>
      <c r="G22" s="10"/>
      <c r="J22" s="11"/>
      <c r="K22" s="11"/>
      <c r="L22" s="15" t="s">
        <v>240</v>
      </c>
      <c r="M22" s="16">
        <v>128</v>
      </c>
      <c r="N22" s="16">
        <v>1536</v>
      </c>
      <c r="O22" s="3" t="s">
        <v>215</v>
      </c>
      <c r="P22" s="11"/>
    </row>
    <row r="23" spans="1:16" x14ac:dyDescent="0.25">
      <c r="A23" s="8"/>
      <c r="B23" s="8"/>
      <c r="C23" s="15" t="s">
        <v>235</v>
      </c>
      <c r="D23" s="3" t="s">
        <v>106</v>
      </c>
      <c r="E23" s="10" t="s">
        <v>14</v>
      </c>
      <c r="F23" s="10" t="s">
        <v>14</v>
      </c>
      <c r="G23" s="10"/>
    </row>
  </sheetData>
  <mergeCells count="2">
    <mergeCell ref="A2:A4"/>
    <mergeCell ref="A16:A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selection activeCell="I5" sqref="I5"/>
    </sheetView>
  </sheetViews>
  <sheetFormatPr defaultRowHeight="15" x14ac:dyDescent="0.25"/>
  <cols>
    <col min="3" max="3" width="19.7109375" bestFit="1" customWidth="1"/>
    <col min="12" max="12" width="13.7109375" bestFit="1" customWidth="1"/>
  </cols>
  <sheetData>
    <row r="1" spans="1:16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2" t="s">
        <v>5</v>
      </c>
      <c r="P1" s="1" t="s">
        <v>6</v>
      </c>
    </row>
    <row r="2" spans="1:16" x14ac:dyDescent="0.25">
      <c r="A2" s="62">
        <v>1</v>
      </c>
      <c r="B2" s="3"/>
      <c r="C2" s="4" t="s">
        <v>222</v>
      </c>
      <c r="D2" s="3">
        <v>288</v>
      </c>
      <c r="E2" s="3">
        <v>2304</v>
      </c>
      <c r="F2" s="5" t="s">
        <v>429</v>
      </c>
      <c r="G2" s="5"/>
      <c r="J2" s="11"/>
      <c r="K2" s="11"/>
      <c r="L2" s="15" t="s">
        <v>242</v>
      </c>
      <c r="M2" s="16">
        <v>96</v>
      </c>
      <c r="N2" s="16">
        <v>768</v>
      </c>
      <c r="O2" s="3" t="s">
        <v>232</v>
      </c>
      <c r="P2" s="11"/>
    </row>
    <row r="3" spans="1:16" x14ac:dyDescent="0.25">
      <c r="A3" s="63"/>
      <c r="B3" s="3"/>
      <c r="C3" s="3" t="s">
        <v>8</v>
      </c>
      <c r="D3" s="3">
        <v>288</v>
      </c>
      <c r="E3" s="3">
        <v>2304</v>
      </c>
      <c r="F3" s="5"/>
      <c r="G3" s="5"/>
      <c r="J3" s="11"/>
      <c r="K3" s="11"/>
      <c r="L3" s="15" t="s">
        <v>243</v>
      </c>
      <c r="M3" s="16">
        <v>96</v>
      </c>
      <c r="N3" s="16">
        <v>768</v>
      </c>
      <c r="O3" s="3" t="s">
        <v>232</v>
      </c>
      <c r="P3" s="11"/>
    </row>
    <row r="4" spans="1:16" x14ac:dyDescent="0.25">
      <c r="A4" s="64"/>
      <c r="B4" s="3"/>
      <c r="C4" s="6" t="s">
        <v>9</v>
      </c>
      <c r="D4" s="6"/>
      <c r="E4" s="6"/>
      <c r="F4" s="5"/>
      <c r="G4" s="5"/>
      <c r="J4" s="11"/>
      <c r="K4" s="11"/>
      <c r="L4" s="15" t="s">
        <v>244</v>
      </c>
      <c r="M4" s="16">
        <v>96</v>
      </c>
      <c r="N4" s="16">
        <v>768</v>
      </c>
      <c r="O4" s="3" t="s">
        <v>232</v>
      </c>
      <c r="P4" s="11"/>
    </row>
    <row r="5" spans="1:16" x14ac:dyDescent="0.25">
      <c r="J5" s="11"/>
      <c r="K5" s="11"/>
      <c r="L5" s="15" t="s">
        <v>245</v>
      </c>
      <c r="M5" s="16">
        <v>64</v>
      </c>
      <c r="N5" s="16">
        <v>192</v>
      </c>
      <c r="O5" s="3" t="s">
        <v>231</v>
      </c>
      <c r="P5" s="11"/>
    </row>
    <row r="6" spans="1:16" x14ac:dyDescent="0.25">
      <c r="J6" s="11"/>
      <c r="K6" s="11"/>
      <c r="L6" s="15" t="s">
        <v>246</v>
      </c>
      <c r="M6" s="16">
        <v>64</v>
      </c>
      <c r="N6" s="16">
        <v>192</v>
      </c>
      <c r="O6" s="3" t="s">
        <v>231</v>
      </c>
      <c r="P6" s="11"/>
    </row>
    <row r="7" spans="1:16" ht="31.5" x14ac:dyDescent="0.25">
      <c r="A7" s="7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10</v>
      </c>
      <c r="J7" s="11"/>
      <c r="K7" s="11"/>
      <c r="L7" s="15" t="s">
        <v>247</v>
      </c>
      <c r="M7" s="16">
        <v>64</v>
      </c>
      <c r="N7" s="16">
        <v>192</v>
      </c>
      <c r="O7" s="3" t="s">
        <v>231</v>
      </c>
      <c r="P7" s="11"/>
    </row>
    <row r="8" spans="1:16" x14ac:dyDescent="0.25">
      <c r="A8" s="8"/>
      <c r="B8" s="8"/>
      <c r="C8" s="15" t="s">
        <v>242</v>
      </c>
      <c r="D8" s="3" t="s">
        <v>226</v>
      </c>
      <c r="E8" s="10" t="s">
        <v>106</v>
      </c>
      <c r="F8" s="10" t="s">
        <v>14</v>
      </c>
      <c r="G8" s="10"/>
      <c r="J8" s="11"/>
      <c r="K8" s="11"/>
      <c r="L8" s="15" t="s">
        <v>248</v>
      </c>
      <c r="M8" s="16">
        <v>64</v>
      </c>
      <c r="N8" s="16">
        <v>192</v>
      </c>
      <c r="O8" s="3" t="s">
        <v>231</v>
      </c>
      <c r="P8" s="11"/>
    </row>
    <row r="9" spans="1:16" x14ac:dyDescent="0.25">
      <c r="A9" s="8"/>
      <c r="B9" s="8"/>
      <c r="C9" s="15" t="s">
        <v>243</v>
      </c>
      <c r="D9" s="3" t="s">
        <v>226</v>
      </c>
      <c r="E9" s="10" t="s">
        <v>106</v>
      </c>
      <c r="F9" s="10" t="s">
        <v>14</v>
      </c>
      <c r="G9" s="10"/>
    </row>
    <row r="10" spans="1:16" x14ac:dyDescent="0.25">
      <c r="A10" s="11"/>
      <c r="B10" s="11"/>
      <c r="C10" s="15" t="s">
        <v>244</v>
      </c>
      <c r="D10" s="3" t="s">
        <v>226</v>
      </c>
      <c r="E10" s="10" t="s">
        <v>106</v>
      </c>
      <c r="F10" s="10" t="s">
        <v>14</v>
      </c>
      <c r="G10" s="11"/>
    </row>
  </sheetData>
  <mergeCells count="1"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NVNN-PCA</vt:lpstr>
      <vt:lpstr>DCQG-PCA</vt:lpstr>
      <vt:lpstr>NVNN-ZERO-DATALOSS-RA23</vt:lpstr>
      <vt:lpstr>ZFS9-2-CSDL DAI-HAN-NVNN</vt:lpstr>
      <vt:lpstr>MA-HOA-OKV</vt:lpstr>
      <vt:lpstr>ZF9-2-CSDL-TAP-CHUNG</vt:lpstr>
      <vt:lpstr>CCCD</vt:lpstr>
      <vt:lpstr>EXADATA-NVNN</vt:lpstr>
      <vt:lpstr>EXADATA-DCQG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binhpn</dc:creator>
  <cp:lastModifiedBy>binhpn</cp:lastModifiedBy>
  <dcterms:created xsi:type="dcterms:W3CDTF">2024-11-22T02:44:21Z</dcterms:created>
  <dcterms:modified xsi:type="dcterms:W3CDTF">2024-11-25T08:55:30Z</dcterms:modified>
</cp:coreProperties>
</file>